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30" windowWidth="19200" windowHeight="11760" activeTab="2"/>
  </bookViews>
  <sheets>
    <sheet name="単価表" sheetId="1" r:id="rId1"/>
    <sheet name="集計表" sheetId="2" r:id="rId2"/>
    <sheet name="重量計算表" sheetId="3" r:id="rId3"/>
  </sheets>
  <calcPr calcId="125725"/>
</workbook>
</file>

<file path=xl/calcChain.xml><?xml version="1.0" encoding="utf-8"?>
<calcChain xmlns="http://schemas.openxmlformats.org/spreadsheetml/2006/main">
  <c r="G3" i="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2"/>
  <c r="G1001"/>
  <c r="G8" i="2"/>
  <c r="G9"/>
  <c r="G10"/>
  <c r="G11"/>
  <c r="G13"/>
  <c r="G14"/>
  <c r="G21"/>
  <c r="G22"/>
  <c r="G23"/>
  <c r="G25"/>
  <c r="G26"/>
  <c r="G27"/>
  <c r="G28"/>
  <c r="G29"/>
  <c r="G30"/>
  <c r="G33"/>
  <c r="G36"/>
  <c r="G37"/>
  <c r="G38"/>
  <c r="G40"/>
  <c r="G41"/>
  <c r="G42"/>
  <c r="G43"/>
  <c r="G48"/>
  <c r="G49"/>
  <c r="G50"/>
  <c r="G51"/>
  <c r="G55"/>
  <c r="G56"/>
  <c r="G57"/>
  <c r="G58"/>
  <c r="G65"/>
  <c r="G67"/>
  <c r="G72"/>
  <c r="G73"/>
  <c r="G81"/>
  <c r="G83"/>
  <c r="G85"/>
  <c r="G86"/>
  <c r="G87"/>
  <c r="G88"/>
  <c r="G89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1001"/>
  <c r="F3"/>
  <c r="G3" s="1"/>
  <c r="F8"/>
  <c r="F9"/>
  <c r="F10"/>
  <c r="F11"/>
  <c r="F12"/>
  <c r="F13"/>
  <c r="F14"/>
  <c r="F21"/>
  <c r="F22"/>
  <c r="F23"/>
  <c r="F25"/>
  <c r="F26"/>
  <c r="F27"/>
  <c r="F28"/>
  <c r="F29"/>
  <c r="F30"/>
  <c r="F33"/>
  <c r="F36"/>
  <c r="F37"/>
  <c r="F38"/>
  <c r="F40"/>
  <c r="F41"/>
  <c r="F42"/>
  <c r="F43"/>
  <c r="F48"/>
  <c r="F49"/>
  <c r="F50"/>
  <c r="F51"/>
  <c r="F55"/>
  <c r="F56"/>
  <c r="F57"/>
  <c r="F58"/>
  <c r="F65"/>
  <c r="F67"/>
  <c r="F69"/>
  <c r="G69" s="1"/>
  <c r="F72"/>
  <c r="F73"/>
  <c r="F80"/>
  <c r="F81"/>
  <c r="F83"/>
  <c r="F85"/>
  <c r="F86"/>
  <c r="F87"/>
  <c r="F88"/>
  <c r="F89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E3"/>
  <c r="E4"/>
  <c r="F4" s="1"/>
  <c r="E5"/>
  <c r="F5" s="1"/>
  <c r="E6"/>
  <c r="F6" s="1"/>
  <c r="E7"/>
  <c r="E8"/>
  <c r="E9"/>
  <c r="E10"/>
  <c r="E11"/>
  <c r="E12"/>
  <c r="G12" s="1"/>
  <c r="E13"/>
  <c r="E14"/>
  <c r="E15"/>
  <c r="E16"/>
  <c r="F16" s="1"/>
  <c r="G16" s="1"/>
  <c r="E17"/>
  <c r="E18"/>
  <c r="E19"/>
  <c r="F19" s="1"/>
  <c r="G19" s="1"/>
  <c r="E20"/>
  <c r="F20" s="1"/>
  <c r="G20" s="1"/>
  <c r="E21"/>
  <c r="E22"/>
  <c r="E23"/>
  <c r="E24"/>
  <c r="F24" s="1"/>
  <c r="E25"/>
  <c r="E26"/>
  <c r="E27"/>
  <c r="E28"/>
  <c r="E29"/>
  <c r="E30"/>
  <c r="E31"/>
  <c r="E32"/>
  <c r="E33"/>
  <c r="E34"/>
  <c r="F34" s="1"/>
  <c r="E35"/>
  <c r="F35" s="1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F59" s="1"/>
  <c r="E60"/>
  <c r="E61"/>
  <c r="E62"/>
  <c r="G62" s="1"/>
  <c r="E63"/>
  <c r="E64"/>
  <c r="E65"/>
  <c r="E66"/>
  <c r="E67"/>
  <c r="E68"/>
  <c r="F68" s="1"/>
  <c r="G68" s="1"/>
  <c r="E69"/>
  <c r="E70"/>
  <c r="G70" s="1"/>
  <c r="E71"/>
  <c r="F71" s="1"/>
  <c r="E72"/>
  <c r="E73"/>
  <c r="E74"/>
  <c r="E75"/>
  <c r="E76"/>
  <c r="F76" s="1"/>
  <c r="E77"/>
  <c r="F77" s="1"/>
  <c r="E78"/>
  <c r="F78" s="1"/>
  <c r="G78" s="1"/>
  <c r="E79"/>
  <c r="F79" s="1"/>
  <c r="E80"/>
  <c r="G80" s="1"/>
  <c r="E81"/>
  <c r="E82"/>
  <c r="E83"/>
  <c r="E84"/>
  <c r="F84" s="1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2"/>
  <c r="F47" l="1"/>
  <c r="G47" s="1"/>
  <c r="F46"/>
  <c r="G46" s="1"/>
  <c r="F45"/>
  <c r="G45" s="1"/>
  <c r="F44"/>
  <c r="G44" s="1"/>
  <c r="F39"/>
  <c r="G39" s="1"/>
  <c r="G35"/>
  <c r="G34"/>
  <c r="F32"/>
  <c r="G32" s="1"/>
  <c r="F31"/>
  <c r="G31" s="1"/>
  <c r="G24"/>
  <c r="F15"/>
  <c r="G15" s="1"/>
  <c r="F7"/>
  <c r="G7" s="1"/>
  <c r="G6"/>
  <c r="F90"/>
  <c r="G90" s="1"/>
  <c r="G84"/>
  <c r="F82"/>
  <c r="G82" s="1"/>
  <c r="G71"/>
  <c r="F70"/>
  <c r="F66"/>
  <c r="G66" s="1"/>
  <c r="F64"/>
  <c r="G64" s="1"/>
  <c r="F63"/>
  <c r="G63" s="1"/>
  <c r="G77"/>
  <c r="G76"/>
  <c r="F74"/>
  <c r="G74" s="1"/>
  <c r="F75"/>
  <c r="G75" s="1"/>
  <c r="F62"/>
  <c r="F61"/>
  <c r="G61" s="1"/>
  <c r="F60"/>
  <c r="G60" s="1"/>
  <c r="G59"/>
  <c r="F54"/>
  <c r="G54" s="1"/>
  <c r="F53"/>
  <c r="G53" s="1"/>
  <c r="F52"/>
  <c r="G52" s="1"/>
  <c r="G79"/>
  <c r="F18"/>
  <c r="G18" s="1"/>
  <c r="F17"/>
  <c r="G17" s="1"/>
  <c r="G5"/>
  <c r="G4"/>
  <c r="F2"/>
  <c r="G2" s="1"/>
</calcChain>
</file>

<file path=xl/sharedStrings.xml><?xml version="1.0" encoding="utf-8"?>
<sst xmlns="http://schemas.openxmlformats.org/spreadsheetml/2006/main" count="2019" uniqueCount="21">
  <si>
    <t>等級</t>
    <rPh sb="0" eb="2">
      <t>トウキュウ</t>
    </rPh>
    <phoneticPr fontId="1"/>
  </si>
  <si>
    <t>優</t>
  </si>
  <si>
    <t>優</t>
    <rPh sb="0" eb="1">
      <t>ユウ</t>
    </rPh>
    <phoneticPr fontId="1"/>
  </si>
  <si>
    <t>良</t>
  </si>
  <si>
    <t>良</t>
    <rPh sb="0" eb="1">
      <t>リョウ</t>
    </rPh>
    <phoneticPr fontId="1"/>
  </si>
  <si>
    <t>並</t>
  </si>
  <si>
    <t>並</t>
    <rPh sb="0" eb="1">
      <t>ナミ</t>
    </rPh>
    <phoneticPr fontId="1"/>
  </si>
  <si>
    <t>キログラム当たり単価(円／kg)</t>
    <rPh sb="5" eb="6">
      <t>ア</t>
    </rPh>
    <rPh sb="8" eb="10">
      <t>タンカ</t>
    </rPh>
    <rPh sb="11" eb="12">
      <t>エン</t>
    </rPh>
    <phoneticPr fontId="1"/>
  </si>
  <si>
    <t>ID</t>
    <phoneticPr fontId="1"/>
  </si>
  <si>
    <t>重量
(kg)</t>
    <rPh sb="0" eb="2">
      <t>ジュウリョウ</t>
    </rPh>
    <phoneticPr fontId="1"/>
  </si>
  <si>
    <t>形状</t>
    <rPh sb="0" eb="2">
      <t>ケイジョウ</t>
    </rPh>
    <phoneticPr fontId="1"/>
  </si>
  <si>
    <t>表皮色</t>
    <rPh sb="0" eb="2">
      <t>ヒョウヒ</t>
    </rPh>
    <rPh sb="2" eb="3">
      <t>イロ</t>
    </rPh>
    <phoneticPr fontId="1"/>
  </si>
  <si>
    <t>算出価格
(円)</t>
    <rPh sb="0" eb="2">
      <t>サンシュツ</t>
    </rPh>
    <rPh sb="2" eb="4">
      <t>カカク</t>
    </rPh>
    <rPh sb="6" eb="7">
      <t>エン</t>
    </rPh>
    <phoneticPr fontId="1"/>
  </si>
  <si>
    <t>販売価格
(円)</t>
    <rPh sb="0" eb="2">
      <t>ハンバイ</t>
    </rPh>
    <rPh sb="2" eb="4">
      <t>カカク</t>
    </rPh>
    <rPh sb="6" eb="7">
      <t>エン</t>
    </rPh>
    <phoneticPr fontId="1"/>
  </si>
  <si>
    <t>箱連番</t>
    <rPh sb="0" eb="1">
      <t>ハコ</t>
    </rPh>
    <rPh sb="1" eb="3">
      <t>レンバン</t>
    </rPh>
    <phoneticPr fontId="1"/>
  </si>
  <si>
    <t>1個目のID</t>
    <rPh sb="1" eb="2">
      <t>コ</t>
    </rPh>
    <rPh sb="2" eb="3">
      <t>メ</t>
    </rPh>
    <phoneticPr fontId="1"/>
  </si>
  <si>
    <t>2個目のID</t>
    <rPh sb="1" eb="2">
      <t>コ</t>
    </rPh>
    <rPh sb="2" eb="3">
      <t>メ</t>
    </rPh>
    <phoneticPr fontId="1"/>
  </si>
  <si>
    <t>3個目のID</t>
    <rPh sb="1" eb="2">
      <t>コ</t>
    </rPh>
    <rPh sb="2" eb="3">
      <t>メ</t>
    </rPh>
    <phoneticPr fontId="1"/>
  </si>
  <si>
    <t>4個目のID</t>
    <rPh sb="1" eb="2">
      <t>コ</t>
    </rPh>
    <rPh sb="2" eb="3">
      <t>メ</t>
    </rPh>
    <phoneticPr fontId="1"/>
  </si>
  <si>
    <t>合計重量(kg)</t>
    <rPh sb="0" eb="2">
      <t>ゴウケイ</t>
    </rPh>
    <rPh sb="2" eb="4">
      <t>ジュウリョウ</t>
    </rPh>
    <phoneticPr fontId="1"/>
  </si>
  <si>
    <t>販売価格(円)</t>
    <rPh sb="0" eb="2">
      <t>ハンバイ</t>
    </rPh>
    <rPh sb="2" eb="4">
      <t>カカク</t>
    </rPh>
    <rPh sb="5" eb="6">
      <t>エン</t>
    </rPh>
    <phoneticPr fontId="1"/>
  </si>
</sst>
</file>

<file path=xl/styles.xml><?xml version="1.0" encoding="utf-8"?>
<styleSheet xmlns="http://schemas.openxmlformats.org/spreadsheetml/2006/main">
  <numFmts count="2">
    <numFmt numFmtId="176" formatCode="0.000_ "/>
    <numFmt numFmtId="177" formatCode="#,##0_ 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 vertical="center" wrapText="1"/>
    </xf>
    <xf numFmtId="177" fontId="0" fillId="0" borderId="0" xfId="0" applyNumberFormat="1">
      <alignment vertical="center"/>
    </xf>
    <xf numFmtId="177" fontId="0" fillId="0" borderId="0" xfId="0" applyNumberFormat="1" applyAlignment="1">
      <alignment horizontal="right" vertical="center" wrapText="1"/>
    </xf>
    <xf numFmtId="177" fontId="0" fillId="0" borderId="0" xfId="0" applyNumberFormat="1" applyAlignment="1">
      <alignment horizontal="right"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2"/>
  <sheetViews>
    <sheetView workbookViewId="0">
      <selection activeCell="C2" sqref="C2"/>
    </sheetView>
  </sheetViews>
  <sheetFormatPr defaultRowHeight="13.5"/>
  <cols>
    <col min="1" max="1" width="30" customWidth="1"/>
  </cols>
  <sheetData>
    <row r="1" spans="1:4">
      <c r="A1" s="2" t="s">
        <v>0</v>
      </c>
      <c r="B1" s="2" t="s">
        <v>2</v>
      </c>
      <c r="C1" s="2" t="s">
        <v>4</v>
      </c>
      <c r="D1" s="2" t="s">
        <v>6</v>
      </c>
    </row>
    <row r="2" spans="1:4">
      <c r="A2" t="s">
        <v>7</v>
      </c>
      <c r="B2" s="1">
        <v>1500</v>
      </c>
      <c r="C2" s="1">
        <v>1200</v>
      </c>
      <c r="D2">
        <v>800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1001"/>
  <sheetViews>
    <sheetView workbookViewId="0">
      <selection activeCell="C43" sqref="C43"/>
    </sheetView>
  </sheetViews>
  <sheetFormatPr defaultRowHeight="13.5"/>
  <cols>
    <col min="2" max="2" width="9" style="3"/>
    <col min="6" max="7" width="9" style="7"/>
    <col min="9" max="9" width="9.5" bestFit="1" customWidth="1"/>
  </cols>
  <sheetData>
    <row r="1" spans="1:9" ht="27">
      <c r="A1" s="2" t="s">
        <v>8</v>
      </c>
      <c r="B1" s="4" t="s">
        <v>9</v>
      </c>
      <c r="C1" s="2" t="s">
        <v>10</v>
      </c>
      <c r="D1" s="2" t="s">
        <v>11</v>
      </c>
      <c r="E1" s="2" t="s">
        <v>0</v>
      </c>
      <c r="F1" s="6" t="s">
        <v>12</v>
      </c>
      <c r="G1" s="6" t="s">
        <v>13</v>
      </c>
    </row>
    <row r="2" spans="1:9">
      <c r="A2">
        <v>1</v>
      </c>
      <c r="B2">
        <v>1.6120000000000001</v>
      </c>
      <c r="C2" t="s">
        <v>1</v>
      </c>
      <c r="D2" t="s">
        <v>1</v>
      </c>
      <c r="E2" t="str">
        <f>IF(A2="","",IF(OR(C2="並",D2="並"),"並",IF(OR(C2="良",D2="良"),"良","優")))</f>
        <v>優</v>
      </c>
      <c r="F2" s="7">
        <f>IF(A2="","",IF(E2="並","-",HLOOKUP(E2,単価表!$B$1:$D$2,2,FALSE)*B2))</f>
        <v>2418</v>
      </c>
      <c r="G2" s="7">
        <f>IF(A2="","",IF(E2="並","-",ROUNDUP(F2/50,0)*50))</f>
        <v>2450</v>
      </c>
      <c r="I2" s="3"/>
    </row>
    <row r="3" spans="1:9">
      <c r="A3">
        <v>2</v>
      </c>
      <c r="B3">
        <v>1.8540000000000001</v>
      </c>
      <c r="C3" t="s">
        <v>3</v>
      </c>
      <c r="D3" t="s">
        <v>1</v>
      </c>
      <c r="E3" t="str">
        <f t="shared" ref="E3:E66" si="0">IF(A3="","",IF(OR(C3="並",D3="並"),"並",IF(OR(C3="良",D3="良"),"良","優")))</f>
        <v>良</v>
      </c>
      <c r="F3" s="7">
        <f>IF(A3="","",IF(E3="並","-",HLOOKUP(E3,単価表!$B$1:$D$2,2,FALSE)*B3))</f>
        <v>2224.8000000000002</v>
      </c>
      <c r="G3" s="7">
        <f>IF(A3="","",IF(E3="並","-",ROUNDUP(F3/50,0)*50))</f>
        <v>2250</v>
      </c>
    </row>
    <row r="4" spans="1:9">
      <c r="A4">
        <v>3</v>
      </c>
      <c r="B4">
        <v>2.0230000000000001</v>
      </c>
      <c r="C4" t="s">
        <v>3</v>
      </c>
      <c r="D4" t="s">
        <v>3</v>
      </c>
      <c r="E4" t="str">
        <f t="shared" si="0"/>
        <v>良</v>
      </c>
      <c r="F4" s="7">
        <f>IF(A4="","",IF(E4="並","-",HLOOKUP(E4,単価表!$B$1:$D$2,2,FALSE)*B4))</f>
        <v>2427.6000000000004</v>
      </c>
      <c r="G4" s="7">
        <f t="shared" ref="G4:G67" si="1">IF(A4="","",IF(E4="並","-",ROUNDUP(F4/50,0)*50))</f>
        <v>2450</v>
      </c>
    </row>
    <row r="5" spans="1:9">
      <c r="A5">
        <v>4</v>
      </c>
      <c r="B5">
        <v>2.456</v>
      </c>
      <c r="C5" t="s">
        <v>5</v>
      </c>
      <c r="D5" t="s">
        <v>3</v>
      </c>
      <c r="E5" t="str">
        <f t="shared" si="0"/>
        <v>並</v>
      </c>
      <c r="F5" s="7" t="str">
        <f>IF(A5="","",IF(E5="並","-",HLOOKUP(E5,単価表!$B$1:$D$2,2,FALSE)*B5))</f>
        <v>-</v>
      </c>
      <c r="G5" s="7" t="str">
        <f t="shared" si="1"/>
        <v>-</v>
      </c>
    </row>
    <row r="6" spans="1:9">
      <c r="A6">
        <v>5</v>
      </c>
      <c r="B6">
        <v>2.3969999999999998</v>
      </c>
      <c r="C6" t="s">
        <v>3</v>
      </c>
      <c r="D6" t="s">
        <v>3</v>
      </c>
      <c r="E6" t="str">
        <f t="shared" si="0"/>
        <v>良</v>
      </c>
      <c r="F6" s="7">
        <f>IF(A6="","",IF(E6="並","-",HLOOKUP(E6,単価表!$B$1:$D$2,2,FALSE)*B6))</f>
        <v>2876.3999999999996</v>
      </c>
      <c r="G6" s="7">
        <f t="shared" si="1"/>
        <v>2900</v>
      </c>
    </row>
    <row r="7" spans="1:9">
      <c r="A7">
        <v>6</v>
      </c>
      <c r="B7">
        <v>1.8009999999999999</v>
      </c>
      <c r="C7" t="s">
        <v>3</v>
      </c>
      <c r="D7" t="s">
        <v>1</v>
      </c>
      <c r="E7" t="str">
        <f t="shared" si="0"/>
        <v>良</v>
      </c>
      <c r="F7" s="7">
        <f>IF(A7="","",IF(E7="並","-",HLOOKUP(E7,単価表!$B$1:$D$2,2,FALSE)*B7))</f>
        <v>2161.1999999999998</v>
      </c>
      <c r="G7" s="7">
        <f t="shared" si="1"/>
        <v>2200</v>
      </c>
    </row>
    <row r="8" spans="1:9">
      <c r="A8">
        <v>7</v>
      </c>
      <c r="B8">
        <v>1.014</v>
      </c>
      <c r="C8" t="s">
        <v>5</v>
      </c>
      <c r="D8" t="s">
        <v>3</v>
      </c>
      <c r="E8" t="str">
        <f t="shared" si="0"/>
        <v>並</v>
      </c>
      <c r="F8" s="7" t="str">
        <f>IF(A8="","",IF(E8="並","-",HLOOKUP(E8,単価表!$B$1:$D$2,2,FALSE)*B8))</f>
        <v>-</v>
      </c>
      <c r="G8" s="7" t="str">
        <f t="shared" si="1"/>
        <v>-</v>
      </c>
    </row>
    <row r="9" spans="1:9">
      <c r="A9">
        <v>8</v>
      </c>
      <c r="B9">
        <v>2.1680000000000001</v>
      </c>
      <c r="C9" t="s">
        <v>3</v>
      </c>
      <c r="D9" t="s">
        <v>3</v>
      </c>
      <c r="E9" t="str">
        <f t="shared" si="0"/>
        <v>良</v>
      </c>
      <c r="F9" s="7">
        <f>IF(A9="","",IF(E9="並","-",HLOOKUP(E9,単価表!$B$1:$D$2,2,FALSE)*B9))</f>
        <v>2601.6000000000004</v>
      </c>
      <c r="G9" s="7">
        <f t="shared" si="1"/>
        <v>2650</v>
      </c>
    </row>
    <row r="10" spans="1:9">
      <c r="A10">
        <v>9</v>
      </c>
      <c r="B10">
        <v>1.464</v>
      </c>
      <c r="C10" t="s">
        <v>1</v>
      </c>
      <c r="D10" t="s">
        <v>1</v>
      </c>
      <c r="E10" t="str">
        <f t="shared" si="0"/>
        <v>優</v>
      </c>
      <c r="F10" s="7">
        <f>IF(A10="","",IF(E10="並","-",HLOOKUP(E10,単価表!$B$1:$D$2,2,FALSE)*B10))</f>
        <v>2196</v>
      </c>
      <c r="G10" s="7">
        <f t="shared" si="1"/>
        <v>2200</v>
      </c>
    </row>
    <row r="11" spans="1:9">
      <c r="A11">
        <v>10</v>
      </c>
      <c r="B11">
        <v>0.79600000000000004</v>
      </c>
      <c r="C11" t="s">
        <v>1</v>
      </c>
      <c r="D11" t="s">
        <v>1</v>
      </c>
      <c r="E11" t="str">
        <f t="shared" si="0"/>
        <v>優</v>
      </c>
      <c r="F11" s="7">
        <f>IF(A11="","",IF(E11="並","-",HLOOKUP(E11,単価表!$B$1:$D$2,2,FALSE)*B11))</f>
        <v>1194</v>
      </c>
      <c r="G11" s="7">
        <f t="shared" si="1"/>
        <v>1200</v>
      </c>
    </row>
    <row r="12" spans="1:9">
      <c r="A12">
        <v>11</v>
      </c>
      <c r="B12">
        <v>2.1080000000000001</v>
      </c>
      <c r="C12" t="s">
        <v>3</v>
      </c>
      <c r="D12" t="s">
        <v>3</v>
      </c>
      <c r="E12" t="str">
        <f t="shared" si="0"/>
        <v>良</v>
      </c>
      <c r="F12" s="7">
        <f>IF(A12="","",IF(E12="並","-",HLOOKUP(E12,単価表!$B$1:$D$2,2,FALSE)*B12))</f>
        <v>2529.6</v>
      </c>
      <c r="G12" s="7">
        <f t="shared" si="1"/>
        <v>2550</v>
      </c>
    </row>
    <row r="13" spans="1:9">
      <c r="A13">
        <v>12</v>
      </c>
      <c r="B13">
        <v>1.0449999999999999</v>
      </c>
      <c r="C13" t="s">
        <v>3</v>
      </c>
      <c r="D13" t="s">
        <v>1</v>
      </c>
      <c r="E13" t="str">
        <f t="shared" si="0"/>
        <v>良</v>
      </c>
      <c r="F13" s="7">
        <f>IF(A13="","",IF(E13="並","-",HLOOKUP(E13,単価表!$B$1:$D$2,2,FALSE)*B13))</f>
        <v>1254</v>
      </c>
      <c r="G13" s="7">
        <f t="shared" si="1"/>
        <v>1300</v>
      </c>
    </row>
    <row r="14" spans="1:9">
      <c r="A14">
        <v>13</v>
      </c>
      <c r="B14">
        <v>1.18</v>
      </c>
      <c r="C14" t="s">
        <v>1</v>
      </c>
      <c r="D14" t="s">
        <v>3</v>
      </c>
      <c r="E14" t="str">
        <f t="shared" si="0"/>
        <v>良</v>
      </c>
      <c r="F14" s="7">
        <f>IF(A14="","",IF(E14="並","-",HLOOKUP(E14,単価表!$B$1:$D$2,2,FALSE)*B14))</f>
        <v>1416</v>
      </c>
      <c r="G14" s="7">
        <f t="shared" si="1"/>
        <v>1450</v>
      </c>
    </row>
    <row r="15" spans="1:9">
      <c r="A15">
        <v>14</v>
      </c>
      <c r="B15">
        <v>2.2959999999999998</v>
      </c>
      <c r="C15" t="s">
        <v>3</v>
      </c>
      <c r="D15" t="s">
        <v>1</v>
      </c>
      <c r="E15" t="str">
        <f t="shared" si="0"/>
        <v>良</v>
      </c>
      <c r="F15" s="7">
        <f>IF(A15="","",IF(E15="並","-",HLOOKUP(E15,単価表!$B$1:$D$2,2,FALSE)*B15))</f>
        <v>2755.2</v>
      </c>
      <c r="G15" s="7">
        <f t="shared" si="1"/>
        <v>2800</v>
      </c>
    </row>
    <row r="16" spans="1:9">
      <c r="A16">
        <v>15</v>
      </c>
      <c r="B16">
        <v>2.4540000000000002</v>
      </c>
      <c r="C16" t="s">
        <v>1</v>
      </c>
      <c r="D16" t="s">
        <v>3</v>
      </c>
      <c r="E16" t="str">
        <f t="shared" si="0"/>
        <v>良</v>
      </c>
      <c r="F16" s="7">
        <f>IF(A16="","",IF(E16="並","-",HLOOKUP(E16,単価表!$B$1:$D$2,2,FALSE)*B16))</f>
        <v>2944.8</v>
      </c>
      <c r="G16" s="7">
        <f t="shared" si="1"/>
        <v>2950</v>
      </c>
    </row>
    <row r="17" spans="1:7">
      <c r="A17">
        <v>16</v>
      </c>
      <c r="B17">
        <v>2.8580000000000001</v>
      </c>
      <c r="C17" t="s">
        <v>1</v>
      </c>
      <c r="D17" t="s">
        <v>1</v>
      </c>
      <c r="E17" t="str">
        <f t="shared" si="0"/>
        <v>優</v>
      </c>
      <c r="F17" s="7">
        <f>IF(A17="","",IF(E17="並","-",HLOOKUP(E17,単価表!$B$1:$D$2,2,FALSE)*B17))</f>
        <v>4287</v>
      </c>
      <c r="G17" s="7">
        <f t="shared" si="1"/>
        <v>4300</v>
      </c>
    </row>
    <row r="18" spans="1:7">
      <c r="A18">
        <v>17</v>
      </c>
      <c r="B18">
        <v>1.214</v>
      </c>
      <c r="C18" t="s">
        <v>3</v>
      </c>
      <c r="D18" t="s">
        <v>1</v>
      </c>
      <c r="E18" t="str">
        <f t="shared" si="0"/>
        <v>良</v>
      </c>
      <c r="F18" s="7">
        <f>IF(A18="","",IF(E18="並","-",HLOOKUP(E18,単価表!$B$1:$D$2,2,FALSE)*B18))</f>
        <v>1456.8</v>
      </c>
      <c r="G18" s="7">
        <f t="shared" si="1"/>
        <v>1500</v>
      </c>
    </row>
    <row r="19" spans="1:7">
      <c r="A19">
        <v>18</v>
      </c>
      <c r="B19">
        <v>2.258</v>
      </c>
      <c r="C19" t="s">
        <v>3</v>
      </c>
      <c r="D19" t="s">
        <v>5</v>
      </c>
      <c r="E19" t="str">
        <f t="shared" si="0"/>
        <v>並</v>
      </c>
      <c r="F19" s="7" t="str">
        <f>IF(A19="","",IF(E19="並","-",HLOOKUP(E19,単価表!$B$1:$D$2,2,FALSE)*B19))</f>
        <v>-</v>
      </c>
      <c r="G19" s="7" t="str">
        <f t="shared" si="1"/>
        <v>-</v>
      </c>
    </row>
    <row r="20" spans="1:7">
      <c r="A20">
        <v>19</v>
      </c>
      <c r="B20">
        <v>1.1559999999999999</v>
      </c>
      <c r="C20" t="s">
        <v>3</v>
      </c>
      <c r="D20" t="s">
        <v>3</v>
      </c>
      <c r="E20" t="str">
        <f t="shared" si="0"/>
        <v>良</v>
      </c>
      <c r="F20" s="7">
        <f>IF(A20="","",IF(E20="並","-",HLOOKUP(E20,単価表!$B$1:$D$2,2,FALSE)*B20))</f>
        <v>1387.1999999999998</v>
      </c>
      <c r="G20" s="7">
        <f t="shared" si="1"/>
        <v>1400</v>
      </c>
    </row>
    <row r="21" spans="1:7">
      <c r="A21">
        <v>20</v>
      </c>
      <c r="B21">
        <v>0.96799999999999997</v>
      </c>
      <c r="C21" t="s">
        <v>1</v>
      </c>
      <c r="D21" t="s">
        <v>1</v>
      </c>
      <c r="E21" t="str">
        <f t="shared" si="0"/>
        <v>優</v>
      </c>
      <c r="F21" s="7">
        <f>IF(A21="","",IF(E21="並","-",HLOOKUP(E21,単価表!$B$1:$D$2,2,FALSE)*B21))</f>
        <v>1452</v>
      </c>
      <c r="G21" s="7">
        <f t="shared" si="1"/>
        <v>1500</v>
      </c>
    </row>
    <row r="22" spans="1:7">
      <c r="A22">
        <v>21</v>
      </c>
      <c r="B22">
        <v>2.3199999999999998</v>
      </c>
      <c r="C22" t="s">
        <v>1</v>
      </c>
      <c r="D22" t="s">
        <v>1</v>
      </c>
      <c r="E22" t="str">
        <f t="shared" si="0"/>
        <v>優</v>
      </c>
      <c r="F22" s="7">
        <f>IF(A22="","",IF(E22="並","-",HLOOKUP(E22,単価表!$B$1:$D$2,2,FALSE)*B22))</f>
        <v>3479.9999999999995</v>
      </c>
      <c r="G22" s="7">
        <f t="shared" si="1"/>
        <v>3500</v>
      </c>
    </row>
    <row r="23" spans="1:7">
      <c r="A23">
        <v>22</v>
      </c>
      <c r="B23">
        <v>2.5880000000000001</v>
      </c>
      <c r="C23" t="s">
        <v>1</v>
      </c>
      <c r="D23" t="s">
        <v>3</v>
      </c>
      <c r="E23" t="str">
        <f t="shared" si="0"/>
        <v>良</v>
      </c>
      <c r="F23" s="7">
        <f>IF(A23="","",IF(E23="並","-",HLOOKUP(E23,単価表!$B$1:$D$2,2,FALSE)*B23))</f>
        <v>3105.6</v>
      </c>
      <c r="G23" s="7">
        <f t="shared" si="1"/>
        <v>3150</v>
      </c>
    </row>
    <row r="24" spans="1:7">
      <c r="A24">
        <v>23</v>
      </c>
      <c r="B24">
        <v>2.3780000000000001</v>
      </c>
      <c r="C24" t="s">
        <v>3</v>
      </c>
      <c r="D24" t="s">
        <v>3</v>
      </c>
      <c r="E24" t="str">
        <f t="shared" si="0"/>
        <v>良</v>
      </c>
      <c r="F24" s="7">
        <f>IF(A24="","",IF(E24="並","-",HLOOKUP(E24,単価表!$B$1:$D$2,2,FALSE)*B24))</f>
        <v>2853.6000000000004</v>
      </c>
      <c r="G24" s="7">
        <f t="shared" si="1"/>
        <v>2900</v>
      </c>
    </row>
    <row r="25" spans="1:7">
      <c r="A25">
        <v>24</v>
      </c>
      <c r="B25">
        <v>0.91200000000000003</v>
      </c>
      <c r="C25" t="s">
        <v>1</v>
      </c>
      <c r="D25" t="s">
        <v>3</v>
      </c>
      <c r="E25" t="str">
        <f t="shared" si="0"/>
        <v>良</v>
      </c>
      <c r="F25" s="7">
        <f>IF(A25="","",IF(E25="並","-",HLOOKUP(E25,単価表!$B$1:$D$2,2,FALSE)*B25))</f>
        <v>1094.4000000000001</v>
      </c>
      <c r="G25" s="7">
        <f t="shared" si="1"/>
        <v>1100</v>
      </c>
    </row>
    <row r="26" spans="1:7">
      <c r="A26">
        <v>25</v>
      </c>
      <c r="B26">
        <v>1.792</v>
      </c>
      <c r="C26" t="s">
        <v>1</v>
      </c>
      <c r="D26" t="s">
        <v>1</v>
      </c>
      <c r="E26" t="str">
        <f t="shared" si="0"/>
        <v>優</v>
      </c>
      <c r="F26" s="7">
        <f>IF(A26="","",IF(E26="並","-",HLOOKUP(E26,単価表!$B$1:$D$2,2,FALSE)*B26))</f>
        <v>2688</v>
      </c>
      <c r="G26" s="7">
        <f t="shared" si="1"/>
        <v>2700</v>
      </c>
    </row>
    <row r="27" spans="1:7">
      <c r="A27">
        <v>26</v>
      </c>
      <c r="B27">
        <v>2.4609999999999999</v>
      </c>
      <c r="C27" t="s">
        <v>1</v>
      </c>
      <c r="D27" t="s">
        <v>5</v>
      </c>
      <c r="E27" t="str">
        <f t="shared" si="0"/>
        <v>並</v>
      </c>
      <c r="F27" s="7" t="str">
        <f>IF(A27="","",IF(E27="並","-",HLOOKUP(E27,単価表!$B$1:$D$2,2,FALSE)*B27))</f>
        <v>-</v>
      </c>
      <c r="G27" s="7" t="str">
        <f t="shared" si="1"/>
        <v>-</v>
      </c>
    </row>
    <row r="28" spans="1:7">
      <c r="A28">
        <v>27</v>
      </c>
      <c r="B28">
        <v>1.256</v>
      </c>
      <c r="C28" t="s">
        <v>1</v>
      </c>
      <c r="D28" t="s">
        <v>1</v>
      </c>
      <c r="E28" t="str">
        <f t="shared" si="0"/>
        <v>優</v>
      </c>
      <c r="F28" s="7">
        <f>IF(A28="","",IF(E28="並","-",HLOOKUP(E28,単価表!$B$1:$D$2,2,FALSE)*B28))</f>
        <v>1884</v>
      </c>
      <c r="G28" s="7">
        <f t="shared" si="1"/>
        <v>1900</v>
      </c>
    </row>
    <row r="29" spans="1:7">
      <c r="A29">
        <v>28</v>
      </c>
      <c r="B29">
        <v>2.8130000000000002</v>
      </c>
      <c r="C29" t="s">
        <v>3</v>
      </c>
      <c r="D29" t="s">
        <v>3</v>
      </c>
      <c r="E29" t="str">
        <f t="shared" si="0"/>
        <v>良</v>
      </c>
      <c r="F29" s="7">
        <f>IF(A29="","",IF(E29="並","-",HLOOKUP(E29,単価表!$B$1:$D$2,2,FALSE)*B29))</f>
        <v>3375.6000000000004</v>
      </c>
      <c r="G29" s="7">
        <f t="shared" si="1"/>
        <v>3400</v>
      </c>
    </row>
    <row r="30" spans="1:7">
      <c r="A30">
        <v>29</v>
      </c>
      <c r="B30">
        <v>2.9729999999999999</v>
      </c>
      <c r="C30" t="s">
        <v>1</v>
      </c>
      <c r="D30" t="s">
        <v>5</v>
      </c>
      <c r="E30" t="str">
        <f t="shared" si="0"/>
        <v>並</v>
      </c>
      <c r="F30" s="7" t="str">
        <f>IF(A30="","",IF(E30="並","-",HLOOKUP(E30,単価表!$B$1:$D$2,2,FALSE)*B30))</f>
        <v>-</v>
      </c>
      <c r="G30" s="7" t="str">
        <f t="shared" si="1"/>
        <v>-</v>
      </c>
    </row>
    <row r="31" spans="1:7">
      <c r="A31">
        <v>30</v>
      </c>
      <c r="B31">
        <v>1.492</v>
      </c>
      <c r="C31" t="s">
        <v>3</v>
      </c>
      <c r="D31" t="s">
        <v>1</v>
      </c>
      <c r="E31" t="str">
        <f t="shared" si="0"/>
        <v>良</v>
      </c>
      <c r="F31" s="7">
        <f>IF(A31="","",IF(E31="並","-",HLOOKUP(E31,単価表!$B$1:$D$2,2,FALSE)*B31))</f>
        <v>1790.4</v>
      </c>
      <c r="G31" s="7">
        <f t="shared" si="1"/>
        <v>1800</v>
      </c>
    </row>
    <row r="32" spans="1:7">
      <c r="A32">
        <v>31</v>
      </c>
      <c r="B32">
        <v>1.111</v>
      </c>
      <c r="C32" t="s">
        <v>3</v>
      </c>
      <c r="D32" t="s">
        <v>3</v>
      </c>
      <c r="E32" t="str">
        <f t="shared" si="0"/>
        <v>良</v>
      </c>
      <c r="F32" s="7">
        <f>IF(A32="","",IF(E32="並","-",HLOOKUP(E32,単価表!$B$1:$D$2,2,FALSE)*B32))</f>
        <v>1333.2</v>
      </c>
      <c r="G32" s="7">
        <f t="shared" si="1"/>
        <v>1350</v>
      </c>
    </row>
    <row r="33" spans="1:7">
      <c r="A33">
        <v>32</v>
      </c>
      <c r="B33">
        <v>1.0149999999999999</v>
      </c>
      <c r="C33" t="s">
        <v>5</v>
      </c>
      <c r="D33" t="s">
        <v>3</v>
      </c>
      <c r="E33" t="str">
        <f t="shared" si="0"/>
        <v>並</v>
      </c>
      <c r="F33" s="7" t="str">
        <f>IF(A33="","",IF(E33="並","-",HLOOKUP(E33,単価表!$B$1:$D$2,2,FALSE)*B33))</f>
        <v>-</v>
      </c>
      <c r="G33" s="7" t="str">
        <f t="shared" si="1"/>
        <v>-</v>
      </c>
    </row>
    <row r="34" spans="1:7">
      <c r="A34">
        <v>33</v>
      </c>
      <c r="B34">
        <v>1.008</v>
      </c>
      <c r="C34" t="s">
        <v>1</v>
      </c>
      <c r="D34" t="s">
        <v>3</v>
      </c>
      <c r="E34" t="str">
        <f t="shared" si="0"/>
        <v>良</v>
      </c>
      <c r="F34" s="7">
        <f>IF(A34="","",IF(E34="並","-",HLOOKUP(E34,単価表!$B$1:$D$2,2,FALSE)*B34))</f>
        <v>1209.5999999999999</v>
      </c>
      <c r="G34" s="7">
        <f t="shared" si="1"/>
        <v>1250</v>
      </c>
    </row>
    <row r="35" spans="1:7">
      <c r="A35">
        <v>34</v>
      </c>
      <c r="B35">
        <v>2.7229999999999999</v>
      </c>
      <c r="C35" t="s">
        <v>3</v>
      </c>
      <c r="D35" t="s">
        <v>3</v>
      </c>
      <c r="E35" t="str">
        <f t="shared" si="0"/>
        <v>良</v>
      </c>
      <c r="F35" s="7">
        <f>IF(A35="","",IF(E35="並","-",HLOOKUP(E35,単価表!$B$1:$D$2,2,FALSE)*B35))</f>
        <v>3267.6</v>
      </c>
      <c r="G35" s="7">
        <f t="shared" si="1"/>
        <v>3300</v>
      </c>
    </row>
    <row r="36" spans="1:7">
      <c r="A36">
        <v>35</v>
      </c>
      <c r="B36">
        <v>2.09</v>
      </c>
      <c r="C36" t="s">
        <v>1</v>
      </c>
      <c r="D36" t="s">
        <v>1</v>
      </c>
      <c r="E36" t="str">
        <f t="shared" si="0"/>
        <v>優</v>
      </c>
      <c r="F36" s="7">
        <f>IF(A36="","",IF(E36="並","-",HLOOKUP(E36,単価表!$B$1:$D$2,2,FALSE)*B36))</f>
        <v>3135</v>
      </c>
      <c r="G36" s="7">
        <f t="shared" si="1"/>
        <v>3150</v>
      </c>
    </row>
    <row r="37" spans="1:7">
      <c r="A37">
        <v>36</v>
      </c>
      <c r="B37">
        <v>1.1240000000000001</v>
      </c>
      <c r="C37" t="s">
        <v>5</v>
      </c>
      <c r="D37" t="s">
        <v>3</v>
      </c>
      <c r="E37" t="str">
        <f t="shared" si="0"/>
        <v>並</v>
      </c>
      <c r="F37" s="7" t="str">
        <f>IF(A37="","",IF(E37="並","-",HLOOKUP(E37,単価表!$B$1:$D$2,2,FALSE)*B37))</f>
        <v>-</v>
      </c>
      <c r="G37" s="7" t="str">
        <f t="shared" si="1"/>
        <v>-</v>
      </c>
    </row>
    <row r="38" spans="1:7">
      <c r="A38">
        <v>37</v>
      </c>
      <c r="B38">
        <v>2.44</v>
      </c>
      <c r="C38" t="s">
        <v>1</v>
      </c>
      <c r="D38" t="s">
        <v>1</v>
      </c>
      <c r="E38" t="str">
        <f t="shared" si="0"/>
        <v>優</v>
      </c>
      <c r="F38" s="7">
        <f>IF(A38="","",IF(E38="並","-",HLOOKUP(E38,単価表!$B$1:$D$2,2,FALSE)*B38))</f>
        <v>3660</v>
      </c>
      <c r="G38" s="7">
        <f t="shared" si="1"/>
        <v>3700</v>
      </c>
    </row>
    <row r="39" spans="1:7">
      <c r="A39">
        <v>38</v>
      </c>
      <c r="B39">
        <v>2.8410000000000002</v>
      </c>
      <c r="C39" t="s">
        <v>3</v>
      </c>
      <c r="D39" t="s">
        <v>3</v>
      </c>
      <c r="E39" t="str">
        <f t="shared" si="0"/>
        <v>良</v>
      </c>
      <c r="F39" s="7">
        <f>IF(A39="","",IF(E39="並","-",HLOOKUP(E39,単価表!$B$1:$D$2,2,FALSE)*B39))</f>
        <v>3409.2000000000003</v>
      </c>
      <c r="G39" s="7">
        <f t="shared" si="1"/>
        <v>3450</v>
      </c>
    </row>
    <row r="40" spans="1:7">
      <c r="A40">
        <v>39</v>
      </c>
      <c r="B40">
        <v>1.8440000000000001</v>
      </c>
      <c r="C40" t="s">
        <v>5</v>
      </c>
      <c r="D40" t="s">
        <v>3</v>
      </c>
      <c r="E40" t="str">
        <f t="shared" si="0"/>
        <v>並</v>
      </c>
      <c r="F40" s="7" t="str">
        <f>IF(A40="","",IF(E40="並","-",HLOOKUP(E40,単価表!$B$1:$D$2,2,FALSE)*B40))</f>
        <v>-</v>
      </c>
      <c r="G40" s="7" t="str">
        <f t="shared" si="1"/>
        <v>-</v>
      </c>
    </row>
    <row r="41" spans="1:7">
      <c r="A41">
        <v>40</v>
      </c>
      <c r="B41">
        <v>1.67</v>
      </c>
      <c r="C41" t="s">
        <v>1</v>
      </c>
      <c r="D41" t="s">
        <v>3</v>
      </c>
      <c r="E41" t="str">
        <f t="shared" si="0"/>
        <v>良</v>
      </c>
      <c r="F41" s="7">
        <f>IF(A41="","",IF(E41="並","-",HLOOKUP(E41,単価表!$B$1:$D$2,2,FALSE)*B41))</f>
        <v>2004</v>
      </c>
      <c r="G41" s="7">
        <f t="shared" si="1"/>
        <v>2050</v>
      </c>
    </row>
    <row r="42" spans="1:7">
      <c r="A42">
        <v>41</v>
      </c>
      <c r="B42">
        <v>0.83899999999999997</v>
      </c>
      <c r="C42" t="s">
        <v>1</v>
      </c>
      <c r="D42" t="s">
        <v>5</v>
      </c>
      <c r="E42" t="str">
        <f t="shared" si="0"/>
        <v>並</v>
      </c>
      <c r="F42" s="7" t="str">
        <f>IF(A42="","",IF(E42="並","-",HLOOKUP(E42,単価表!$B$1:$D$2,2,FALSE)*B42))</f>
        <v>-</v>
      </c>
      <c r="G42" s="7" t="str">
        <f t="shared" si="1"/>
        <v>-</v>
      </c>
    </row>
    <row r="43" spans="1:7">
      <c r="A43">
        <v>42</v>
      </c>
      <c r="B43">
        <v>2.7669999999999999</v>
      </c>
      <c r="C43" t="s">
        <v>3</v>
      </c>
      <c r="D43" t="s">
        <v>5</v>
      </c>
      <c r="E43" t="str">
        <f t="shared" si="0"/>
        <v>並</v>
      </c>
      <c r="F43" s="7" t="str">
        <f>IF(A43="","",IF(E43="並","-",HLOOKUP(E43,単価表!$B$1:$D$2,2,FALSE)*B43))</f>
        <v>-</v>
      </c>
      <c r="G43" s="7" t="str">
        <f t="shared" si="1"/>
        <v>-</v>
      </c>
    </row>
    <row r="44" spans="1:7">
      <c r="A44">
        <v>43</v>
      </c>
      <c r="B44">
        <v>1.4219999999999999</v>
      </c>
      <c r="C44" t="s">
        <v>1</v>
      </c>
      <c r="D44" t="s">
        <v>3</v>
      </c>
      <c r="E44" t="str">
        <f t="shared" si="0"/>
        <v>良</v>
      </c>
      <c r="F44" s="7">
        <f>IF(A44="","",IF(E44="並","-",HLOOKUP(E44,単価表!$B$1:$D$2,2,FALSE)*B44))</f>
        <v>1706.3999999999999</v>
      </c>
      <c r="G44" s="7">
        <f t="shared" si="1"/>
        <v>1750</v>
      </c>
    </row>
    <row r="45" spans="1:7">
      <c r="A45">
        <v>44</v>
      </c>
      <c r="B45">
        <v>0.998</v>
      </c>
      <c r="C45" t="s">
        <v>3</v>
      </c>
      <c r="D45" t="s">
        <v>1</v>
      </c>
      <c r="E45" t="str">
        <f t="shared" si="0"/>
        <v>良</v>
      </c>
      <c r="F45" s="7">
        <f>IF(A45="","",IF(E45="並","-",HLOOKUP(E45,単価表!$B$1:$D$2,2,FALSE)*B45))</f>
        <v>1197.5999999999999</v>
      </c>
      <c r="G45" s="7">
        <f t="shared" si="1"/>
        <v>1200</v>
      </c>
    </row>
    <row r="46" spans="1:7">
      <c r="A46">
        <v>45</v>
      </c>
      <c r="B46">
        <v>1.77</v>
      </c>
      <c r="C46" t="s">
        <v>3</v>
      </c>
      <c r="D46" t="s">
        <v>1</v>
      </c>
      <c r="E46" t="str">
        <f t="shared" si="0"/>
        <v>良</v>
      </c>
      <c r="F46" s="7">
        <f>IF(A46="","",IF(E46="並","-",HLOOKUP(E46,単価表!$B$1:$D$2,2,FALSE)*B46))</f>
        <v>2124</v>
      </c>
      <c r="G46" s="7">
        <f t="shared" si="1"/>
        <v>2150</v>
      </c>
    </row>
    <row r="47" spans="1:7">
      <c r="A47">
        <v>46</v>
      </c>
      <c r="B47">
        <v>0.95499999999999996</v>
      </c>
      <c r="C47" t="s">
        <v>3</v>
      </c>
      <c r="D47" t="s">
        <v>1</v>
      </c>
      <c r="E47" t="str">
        <f t="shared" si="0"/>
        <v>良</v>
      </c>
      <c r="F47" s="7">
        <f>IF(A47="","",IF(E47="並","-",HLOOKUP(E47,単価表!$B$1:$D$2,2,FALSE)*B47))</f>
        <v>1146</v>
      </c>
      <c r="G47" s="7">
        <f t="shared" si="1"/>
        <v>1150</v>
      </c>
    </row>
    <row r="48" spans="1:7">
      <c r="A48">
        <v>47</v>
      </c>
      <c r="B48">
        <v>1.9430000000000001</v>
      </c>
      <c r="C48" t="s">
        <v>3</v>
      </c>
      <c r="D48" t="s">
        <v>1</v>
      </c>
      <c r="E48" t="str">
        <f t="shared" si="0"/>
        <v>良</v>
      </c>
      <c r="F48" s="7">
        <f>IF(A48="","",IF(E48="並","-",HLOOKUP(E48,単価表!$B$1:$D$2,2,FALSE)*B48))</f>
        <v>2331.6</v>
      </c>
      <c r="G48" s="7">
        <f t="shared" si="1"/>
        <v>2350</v>
      </c>
    </row>
    <row r="49" spans="1:10">
      <c r="A49">
        <v>48</v>
      </c>
      <c r="B49">
        <v>2.2229999999999999</v>
      </c>
      <c r="C49" t="s">
        <v>3</v>
      </c>
      <c r="D49" t="s">
        <v>3</v>
      </c>
      <c r="E49" t="str">
        <f t="shared" si="0"/>
        <v>良</v>
      </c>
      <c r="F49" s="7">
        <f>IF(A49="","",IF(E49="並","-",HLOOKUP(E49,単価表!$B$1:$D$2,2,FALSE)*B49))</f>
        <v>2667.6</v>
      </c>
      <c r="G49" s="7">
        <f t="shared" si="1"/>
        <v>2700</v>
      </c>
    </row>
    <row r="50" spans="1:10">
      <c r="A50">
        <v>49</v>
      </c>
      <c r="B50">
        <v>1.17</v>
      </c>
      <c r="C50" t="s">
        <v>3</v>
      </c>
      <c r="D50" t="s">
        <v>1</v>
      </c>
      <c r="E50" t="str">
        <f t="shared" si="0"/>
        <v>良</v>
      </c>
      <c r="F50" s="7">
        <f>IF(A50="","",IF(E50="並","-",HLOOKUP(E50,単価表!$B$1:$D$2,2,FALSE)*B50))</f>
        <v>1404</v>
      </c>
      <c r="G50" s="7">
        <f t="shared" si="1"/>
        <v>1450</v>
      </c>
    </row>
    <row r="51" spans="1:10">
      <c r="A51">
        <v>50</v>
      </c>
      <c r="B51">
        <v>1.5649999999999999</v>
      </c>
      <c r="C51" t="s">
        <v>5</v>
      </c>
      <c r="D51" t="s">
        <v>5</v>
      </c>
      <c r="E51" t="str">
        <f t="shared" si="0"/>
        <v>並</v>
      </c>
      <c r="F51" s="7" t="str">
        <f>IF(A51="","",IF(E51="並","-",HLOOKUP(E51,単価表!$B$1:$D$2,2,FALSE)*B51))</f>
        <v>-</v>
      </c>
      <c r="G51" s="7" t="str">
        <f t="shared" si="1"/>
        <v>-</v>
      </c>
    </row>
    <row r="52" spans="1:10">
      <c r="A52">
        <v>51</v>
      </c>
      <c r="B52">
        <v>0.89800000000000002</v>
      </c>
      <c r="C52" t="s">
        <v>1</v>
      </c>
      <c r="D52" t="s">
        <v>1</v>
      </c>
      <c r="E52" t="str">
        <f t="shared" si="0"/>
        <v>優</v>
      </c>
      <c r="F52" s="7">
        <f>IF(A52="","",IF(E52="並","-",HLOOKUP(E52,単価表!$B$1:$D$2,2,FALSE)*B52))</f>
        <v>1347</v>
      </c>
      <c r="G52" s="7">
        <f t="shared" si="1"/>
        <v>1350</v>
      </c>
    </row>
    <row r="53" spans="1:10">
      <c r="A53">
        <v>52</v>
      </c>
      <c r="B53">
        <v>2.4950000000000001</v>
      </c>
      <c r="C53" t="s">
        <v>1</v>
      </c>
      <c r="D53" t="s">
        <v>3</v>
      </c>
      <c r="E53" t="str">
        <f t="shared" si="0"/>
        <v>良</v>
      </c>
      <c r="F53" s="7">
        <f>IF(A53="","",IF(E53="並","-",HLOOKUP(E53,単価表!$B$1:$D$2,2,FALSE)*B53))</f>
        <v>2994</v>
      </c>
      <c r="G53" s="7">
        <f t="shared" si="1"/>
        <v>3000</v>
      </c>
    </row>
    <row r="54" spans="1:10">
      <c r="A54">
        <v>53</v>
      </c>
      <c r="B54">
        <v>1.347</v>
      </c>
      <c r="C54" t="s">
        <v>1</v>
      </c>
      <c r="D54" t="s">
        <v>3</v>
      </c>
      <c r="E54" t="str">
        <f t="shared" si="0"/>
        <v>良</v>
      </c>
      <c r="F54" s="7">
        <f>IF(A54="","",IF(E54="並","-",HLOOKUP(E54,単価表!$B$1:$D$2,2,FALSE)*B54))</f>
        <v>1616.3999999999999</v>
      </c>
      <c r="G54" s="7">
        <f t="shared" si="1"/>
        <v>1650</v>
      </c>
    </row>
    <row r="55" spans="1:10">
      <c r="A55">
        <v>54</v>
      </c>
      <c r="B55">
        <v>1.5129999999999999</v>
      </c>
      <c r="C55" t="s">
        <v>1</v>
      </c>
      <c r="D55" t="s">
        <v>3</v>
      </c>
      <c r="E55" t="str">
        <f t="shared" si="0"/>
        <v>良</v>
      </c>
      <c r="F55" s="7">
        <f>IF(A55="","",IF(E55="並","-",HLOOKUP(E55,単価表!$B$1:$D$2,2,FALSE)*B55))</f>
        <v>1815.6</v>
      </c>
      <c r="G55" s="7">
        <f t="shared" si="1"/>
        <v>1850</v>
      </c>
    </row>
    <row r="56" spans="1:10">
      <c r="A56">
        <v>55</v>
      </c>
      <c r="B56">
        <v>1.546</v>
      </c>
      <c r="C56" t="s">
        <v>1</v>
      </c>
      <c r="D56" t="s">
        <v>1</v>
      </c>
      <c r="E56" t="str">
        <f t="shared" si="0"/>
        <v>優</v>
      </c>
      <c r="F56" s="7">
        <f>IF(A56="","",IF(E56="並","-",HLOOKUP(E56,単価表!$B$1:$D$2,2,FALSE)*B56))</f>
        <v>2319</v>
      </c>
      <c r="G56" s="7">
        <f t="shared" si="1"/>
        <v>2350</v>
      </c>
    </row>
    <row r="57" spans="1:10">
      <c r="A57">
        <v>56</v>
      </c>
      <c r="B57">
        <v>1.976</v>
      </c>
      <c r="C57" t="s">
        <v>3</v>
      </c>
      <c r="D57" t="s">
        <v>1</v>
      </c>
      <c r="E57" t="str">
        <f t="shared" si="0"/>
        <v>良</v>
      </c>
      <c r="F57" s="7">
        <f>IF(A57="","",IF(E57="並","-",HLOOKUP(E57,単価表!$B$1:$D$2,2,FALSE)*B57))</f>
        <v>2371.1999999999998</v>
      </c>
      <c r="G57" s="7">
        <f t="shared" si="1"/>
        <v>2400</v>
      </c>
    </row>
    <row r="58" spans="1:10">
      <c r="A58">
        <v>57</v>
      </c>
      <c r="B58">
        <v>1.891</v>
      </c>
      <c r="C58" t="s">
        <v>3</v>
      </c>
      <c r="D58" t="s">
        <v>1</v>
      </c>
      <c r="E58" t="str">
        <f t="shared" si="0"/>
        <v>良</v>
      </c>
      <c r="F58" s="7">
        <f>IF(A58="","",IF(E58="並","-",HLOOKUP(E58,単価表!$B$1:$D$2,2,FALSE)*B58))</f>
        <v>2269.1999999999998</v>
      </c>
      <c r="G58" s="7">
        <f t="shared" si="1"/>
        <v>2300</v>
      </c>
    </row>
    <row r="59" spans="1:10">
      <c r="A59">
        <v>58</v>
      </c>
      <c r="B59">
        <v>2.5270000000000001</v>
      </c>
      <c r="C59" t="s">
        <v>5</v>
      </c>
      <c r="D59" t="s">
        <v>1</v>
      </c>
      <c r="E59" t="str">
        <f t="shared" si="0"/>
        <v>並</v>
      </c>
      <c r="F59" s="7" t="str">
        <f>IF(A59="","",IF(E59="並","-",HLOOKUP(E59,単価表!$B$1:$D$2,2,FALSE)*B59))</f>
        <v>-</v>
      </c>
      <c r="G59" s="7" t="str">
        <f t="shared" si="1"/>
        <v>-</v>
      </c>
    </row>
    <row r="60" spans="1:10">
      <c r="A60">
        <v>59</v>
      </c>
      <c r="B60">
        <v>1.796</v>
      </c>
      <c r="C60" t="s">
        <v>1</v>
      </c>
      <c r="D60" t="s">
        <v>3</v>
      </c>
      <c r="E60" t="str">
        <f t="shared" si="0"/>
        <v>良</v>
      </c>
      <c r="F60" s="7">
        <f>IF(A60="","",IF(E60="並","-",HLOOKUP(E60,単価表!$B$1:$D$2,2,FALSE)*B60))</f>
        <v>2155.2000000000003</v>
      </c>
      <c r="G60" s="7">
        <f t="shared" si="1"/>
        <v>2200</v>
      </c>
    </row>
    <row r="61" spans="1:10">
      <c r="A61">
        <v>60</v>
      </c>
      <c r="B61">
        <v>1.9219999999999999</v>
      </c>
      <c r="C61" t="s">
        <v>1</v>
      </c>
      <c r="D61" t="s">
        <v>1</v>
      </c>
      <c r="E61" t="str">
        <f t="shared" si="0"/>
        <v>優</v>
      </c>
      <c r="F61" s="7">
        <f>IF(A61="","",IF(E61="並","-",HLOOKUP(E61,単価表!$B$1:$D$2,2,FALSE)*B61))</f>
        <v>2883</v>
      </c>
      <c r="G61" s="7">
        <f t="shared" si="1"/>
        <v>2900</v>
      </c>
    </row>
    <row r="62" spans="1:10">
      <c r="A62">
        <v>61</v>
      </c>
      <c r="B62">
        <v>0.84</v>
      </c>
      <c r="C62" t="s">
        <v>5</v>
      </c>
      <c r="D62" t="s">
        <v>5</v>
      </c>
      <c r="E62" t="str">
        <f t="shared" si="0"/>
        <v>並</v>
      </c>
      <c r="F62" s="7" t="str">
        <f>IF(A62="","",IF(E62="並","-",HLOOKUP(E62,単価表!$B$1:$D$2,2,FALSE)*B62))</f>
        <v>-</v>
      </c>
      <c r="G62" s="7" t="str">
        <f t="shared" si="1"/>
        <v>-</v>
      </c>
    </row>
    <row r="63" spans="1:10">
      <c r="A63">
        <v>62</v>
      </c>
      <c r="B63">
        <v>0.53900000000000003</v>
      </c>
      <c r="C63" t="s">
        <v>1</v>
      </c>
      <c r="D63" t="s">
        <v>1</v>
      </c>
      <c r="E63" t="str">
        <f t="shared" si="0"/>
        <v>優</v>
      </c>
      <c r="F63" s="7">
        <f>IF(A63="","",IF(E63="並","-",HLOOKUP(E63,単価表!$B$1:$D$2,2,FALSE)*B63))</f>
        <v>808.5</v>
      </c>
      <c r="G63" s="7">
        <f t="shared" si="1"/>
        <v>850</v>
      </c>
      <c r="I63">
        <v>2.1160000000000001</v>
      </c>
      <c r="J63">
        <v>0.84</v>
      </c>
    </row>
    <row r="64" spans="1:10">
      <c r="A64">
        <v>63</v>
      </c>
      <c r="B64">
        <v>2.6640000000000001</v>
      </c>
      <c r="C64" t="s">
        <v>1</v>
      </c>
      <c r="D64" t="s">
        <v>1</v>
      </c>
      <c r="E64" t="str">
        <f t="shared" si="0"/>
        <v>優</v>
      </c>
      <c r="F64" s="7">
        <f>IF(A64="","",IF(E64="並","-",HLOOKUP(E64,単価表!$B$1:$D$2,2,FALSE)*B64))</f>
        <v>3996</v>
      </c>
      <c r="G64" s="7">
        <f t="shared" si="1"/>
        <v>4000</v>
      </c>
      <c r="I64">
        <v>2.609</v>
      </c>
      <c r="J64">
        <v>2.609</v>
      </c>
    </row>
    <row r="65" spans="1:10">
      <c r="A65">
        <v>64</v>
      </c>
      <c r="B65">
        <v>0.66700000000000004</v>
      </c>
      <c r="C65" t="s">
        <v>3</v>
      </c>
      <c r="D65" t="s">
        <v>1</v>
      </c>
      <c r="E65" t="str">
        <f t="shared" si="0"/>
        <v>良</v>
      </c>
      <c r="F65" s="7">
        <f>IF(A65="","",IF(E65="並","-",HLOOKUP(E65,単価表!$B$1:$D$2,2,FALSE)*B65))</f>
        <v>800.40000000000009</v>
      </c>
      <c r="G65" s="7">
        <f t="shared" si="1"/>
        <v>850</v>
      </c>
      <c r="I65">
        <v>0.84</v>
      </c>
      <c r="J65">
        <v>0.97099999999999997</v>
      </c>
    </row>
    <row r="66" spans="1:10">
      <c r="A66">
        <v>65</v>
      </c>
      <c r="B66">
        <v>2.355</v>
      </c>
      <c r="C66" t="s">
        <v>1</v>
      </c>
      <c r="D66" t="s">
        <v>1</v>
      </c>
      <c r="E66" t="str">
        <f t="shared" si="0"/>
        <v>優</v>
      </c>
      <c r="F66" s="7">
        <f>IF(A66="","",IF(E66="並","-",HLOOKUP(E66,単価表!$B$1:$D$2,2,FALSE)*B66))</f>
        <v>3532.5</v>
      </c>
      <c r="G66" s="7">
        <f t="shared" si="1"/>
        <v>3550</v>
      </c>
      <c r="I66">
        <v>0.97099999999999997</v>
      </c>
      <c r="J66">
        <v>2.1160000000000001</v>
      </c>
    </row>
    <row r="67" spans="1:10">
      <c r="A67">
        <v>66</v>
      </c>
      <c r="B67">
        <v>0.89600000000000002</v>
      </c>
      <c r="C67" t="s">
        <v>1</v>
      </c>
      <c r="D67" t="s">
        <v>1</v>
      </c>
      <c r="E67" t="str">
        <f t="shared" ref="E67:E130" si="2">IF(A67="","",IF(OR(C67="並",D67="並"),"並",IF(OR(C67="良",D67="良"),"良","優")))</f>
        <v>優</v>
      </c>
      <c r="F67" s="7">
        <f>IF(A67="","",IF(E67="並","-",HLOOKUP(E67,単価表!$B$1:$D$2,2,FALSE)*B67))</f>
        <v>1344</v>
      </c>
      <c r="G67" s="7">
        <f t="shared" si="1"/>
        <v>1350</v>
      </c>
    </row>
    <row r="68" spans="1:10">
      <c r="A68">
        <v>67</v>
      </c>
      <c r="B68">
        <v>2.7240000000000002</v>
      </c>
      <c r="C68" t="s">
        <v>1</v>
      </c>
      <c r="D68" t="s">
        <v>3</v>
      </c>
      <c r="E68" t="str">
        <f t="shared" si="2"/>
        <v>良</v>
      </c>
      <c r="F68" s="7">
        <f>IF(A68="","",IF(E68="並","-",HLOOKUP(E68,単価表!$B$1:$D$2,2,FALSE)*B68))</f>
        <v>3268.8</v>
      </c>
      <c r="G68" s="7">
        <f t="shared" ref="G68:G131" si="3">IF(A68="","",IF(E68="並","-",ROUNDUP(F68/50,0)*50))</f>
        <v>3300</v>
      </c>
    </row>
    <row r="69" spans="1:10">
      <c r="A69">
        <v>68</v>
      </c>
      <c r="B69">
        <v>1.8480000000000001</v>
      </c>
      <c r="C69" t="s">
        <v>1</v>
      </c>
      <c r="D69" t="s">
        <v>3</v>
      </c>
      <c r="E69" t="str">
        <f t="shared" si="2"/>
        <v>良</v>
      </c>
      <c r="F69" s="7">
        <f>IF(A69="","",IF(E69="並","-",HLOOKUP(E69,単価表!$B$1:$D$2,2,FALSE)*B69))</f>
        <v>2217.6</v>
      </c>
      <c r="G69" s="7">
        <f t="shared" si="3"/>
        <v>2250</v>
      </c>
    </row>
    <row r="70" spans="1:10">
      <c r="A70">
        <v>69</v>
      </c>
      <c r="B70">
        <v>2.609</v>
      </c>
      <c r="C70" t="s">
        <v>5</v>
      </c>
      <c r="D70" t="s">
        <v>3</v>
      </c>
      <c r="E70" t="str">
        <f t="shared" si="2"/>
        <v>並</v>
      </c>
      <c r="F70" s="7" t="str">
        <f>IF(A70="","",IF(E70="並","-",HLOOKUP(E70,単価表!$B$1:$D$2,2,FALSE)*B70))</f>
        <v>-</v>
      </c>
      <c r="G70" s="7" t="str">
        <f t="shared" si="3"/>
        <v>-</v>
      </c>
    </row>
    <row r="71" spans="1:10">
      <c r="A71">
        <v>70</v>
      </c>
      <c r="B71">
        <v>0.63</v>
      </c>
      <c r="C71" t="s">
        <v>3</v>
      </c>
      <c r="D71" t="s">
        <v>3</v>
      </c>
      <c r="E71" t="str">
        <f t="shared" si="2"/>
        <v>良</v>
      </c>
      <c r="F71" s="7">
        <f>IF(A71="","",IF(E71="並","-",HLOOKUP(E71,単価表!$B$1:$D$2,2,FALSE)*B71))</f>
        <v>756</v>
      </c>
      <c r="G71" s="7">
        <f t="shared" si="3"/>
        <v>800</v>
      </c>
    </row>
    <row r="72" spans="1:10">
      <c r="A72">
        <v>71</v>
      </c>
      <c r="B72">
        <v>2.19</v>
      </c>
      <c r="C72" t="s">
        <v>3</v>
      </c>
      <c r="D72" t="s">
        <v>3</v>
      </c>
      <c r="E72" t="str">
        <f t="shared" si="2"/>
        <v>良</v>
      </c>
      <c r="F72" s="7">
        <f>IF(A72="","",IF(E72="並","-",HLOOKUP(E72,単価表!$B$1:$D$2,2,FALSE)*B72))</f>
        <v>2628</v>
      </c>
      <c r="G72" s="7">
        <f t="shared" si="3"/>
        <v>2650</v>
      </c>
    </row>
    <row r="73" spans="1:10">
      <c r="A73">
        <v>72</v>
      </c>
      <c r="B73">
        <v>0.97099999999999997</v>
      </c>
      <c r="C73" t="s">
        <v>5</v>
      </c>
      <c r="D73" t="s">
        <v>1</v>
      </c>
      <c r="E73" t="str">
        <f t="shared" si="2"/>
        <v>並</v>
      </c>
      <c r="F73" s="7" t="str">
        <f>IF(A73="","",IF(E73="並","-",HLOOKUP(E73,単価表!$B$1:$D$2,2,FALSE)*B73))</f>
        <v>-</v>
      </c>
      <c r="G73" s="7" t="str">
        <f t="shared" si="3"/>
        <v>-</v>
      </c>
    </row>
    <row r="74" spans="1:10">
      <c r="A74">
        <v>73</v>
      </c>
      <c r="B74">
        <v>0.81200000000000006</v>
      </c>
      <c r="C74" t="s">
        <v>3</v>
      </c>
      <c r="D74" t="s">
        <v>3</v>
      </c>
      <c r="E74" t="str">
        <f t="shared" si="2"/>
        <v>良</v>
      </c>
      <c r="F74" s="7">
        <f>IF(A74="","",IF(E74="並","-",HLOOKUP(E74,単価表!$B$1:$D$2,2,FALSE)*B74))</f>
        <v>974.40000000000009</v>
      </c>
      <c r="G74" s="7">
        <f t="shared" si="3"/>
        <v>1000</v>
      </c>
    </row>
    <row r="75" spans="1:10">
      <c r="A75">
        <v>74</v>
      </c>
      <c r="B75">
        <v>1.38</v>
      </c>
      <c r="C75" t="s">
        <v>3</v>
      </c>
      <c r="D75" t="s">
        <v>3</v>
      </c>
      <c r="E75" t="str">
        <f t="shared" si="2"/>
        <v>良</v>
      </c>
      <c r="F75" s="7">
        <f>IF(A75="","",IF(E75="並","-",HLOOKUP(E75,単価表!$B$1:$D$2,2,FALSE)*B75))</f>
        <v>1655.9999999999998</v>
      </c>
      <c r="G75" s="7">
        <f t="shared" si="3"/>
        <v>1700</v>
      </c>
    </row>
    <row r="76" spans="1:10">
      <c r="A76">
        <v>75</v>
      </c>
      <c r="B76">
        <v>2.5169999999999999</v>
      </c>
      <c r="C76" t="s">
        <v>3</v>
      </c>
      <c r="D76" t="s">
        <v>3</v>
      </c>
      <c r="E76" t="str">
        <f t="shared" si="2"/>
        <v>良</v>
      </c>
      <c r="F76" s="7">
        <f>IF(A76="","",IF(E76="並","-",HLOOKUP(E76,単価表!$B$1:$D$2,2,FALSE)*B76))</f>
        <v>3020.4</v>
      </c>
      <c r="G76" s="7">
        <f t="shared" si="3"/>
        <v>3050</v>
      </c>
    </row>
    <row r="77" spans="1:10">
      <c r="A77">
        <v>76</v>
      </c>
      <c r="B77">
        <v>1.0720000000000001</v>
      </c>
      <c r="C77" t="s">
        <v>3</v>
      </c>
      <c r="D77" t="s">
        <v>3</v>
      </c>
      <c r="E77" t="str">
        <f t="shared" si="2"/>
        <v>良</v>
      </c>
      <c r="F77" s="7">
        <f>IF(A77="","",IF(E77="並","-",HLOOKUP(E77,単価表!$B$1:$D$2,2,FALSE)*B77))</f>
        <v>1286.4000000000001</v>
      </c>
      <c r="G77" s="7">
        <f t="shared" si="3"/>
        <v>1300</v>
      </c>
    </row>
    <row r="78" spans="1:10">
      <c r="A78">
        <v>77</v>
      </c>
      <c r="B78">
        <v>2.1160000000000001</v>
      </c>
      <c r="C78" t="s">
        <v>5</v>
      </c>
      <c r="D78" t="s">
        <v>5</v>
      </c>
      <c r="E78" t="str">
        <f t="shared" si="2"/>
        <v>並</v>
      </c>
      <c r="F78" s="7" t="str">
        <f>IF(A78="","",IF(E78="並","-",HLOOKUP(E78,単価表!$B$1:$D$2,2,FALSE)*B78))</f>
        <v>-</v>
      </c>
      <c r="G78" s="7" t="str">
        <f t="shared" si="3"/>
        <v>-</v>
      </c>
    </row>
    <row r="79" spans="1:10">
      <c r="A79">
        <v>78</v>
      </c>
      <c r="B79">
        <v>2.8119999999999998</v>
      </c>
      <c r="C79" t="s">
        <v>1</v>
      </c>
      <c r="D79" t="s">
        <v>1</v>
      </c>
      <c r="E79" t="str">
        <f t="shared" si="2"/>
        <v>優</v>
      </c>
      <c r="F79" s="7">
        <f>IF(A79="","",IF(E79="並","-",HLOOKUP(E79,単価表!$B$1:$D$2,2,FALSE)*B79))</f>
        <v>4218</v>
      </c>
      <c r="G79" s="7">
        <f t="shared" si="3"/>
        <v>4250</v>
      </c>
    </row>
    <row r="80" spans="1:10">
      <c r="A80">
        <v>79</v>
      </c>
      <c r="B80">
        <v>0.72799999999999998</v>
      </c>
      <c r="C80" t="s">
        <v>3</v>
      </c>
      <c r="D80" t="s">
        <v>3</v>
      </c>
      <c r="E80" t="str">
        <f t="shared" si="2"/>
        <v>良</v>
      </c>
      <c r="F80" s="7">
        <f>IF(A80="","",IF(E80="並","-",HLOOKUP(E80,単価表!$B$1:$D$2,2,FALSE)*B80))</f>
        <v>873.6</v>
      </c>
      <c r="G80" s="7">
        <f t="shared" si="3"/>
        <v>900</v>
      </c>
    </row>
    <row r="81" spans="1:7">
      <c r="A81">
        <v>80</v>
      </c>
      <c r="B81">
        <v>2.2890000000000001</v>
      </c>
      <c r="C81" t="s">
        <v>5</v>
      </c>
      <c r="D81" t="s">
        <v>3</v>
      </c>
      <c r="E81" t="str">
        <f t="shared" si="2"/>
        <v>並</v>
      </c>
      <c r="F81" s="7" t="str">
        <f>IF(A81="","",IF(E81="並","-",HLOOKUP(E81,単価表!$B$1:$D$2,2,FALSE)*B81))</f>
        <v>-</v>
      </c>
      <c r="G81" s="7" t="str">
        <f t="shared" si="3"/>
        <v>-</v>
      </c>
    </row>
    <row r="82" spans="1:7">
      <c r="A82">
        <v>81</v>
      </c>
      <c r="B82">
        <v>1.6319999999999999</v>
      </c>
      <c r="C82" t="s">
        <v>3</v>
      </c>
      <c r="D82" t="s">
        <v>3</v>
      </c>
      <c r="E82" t="str">
        <f t="shared" si="2"/>
        <v>良</v>
      </c>
      <c r="F82" s="7">
        <f>IF(A82="","",IF(E82="並","-",HLOOKUP(E82,単価表!$B$1:$D$2,2,FALSE)*B82))</f>
        <v>1958.3999999999999</v>
      </c>
      <c r="G82" s="7">
        <f t="shared" si="3"/>
        <v>2000</v>
      </c>
    </row>
    <row r="83" spans="1:7">
      <c r="A83">
        <v>82</v>
      </c>
      <c r="B83">
        <v>0.97199999999999998</v>
      </c>
      <c r="C83" t="s">
        <v>3</v>
      </c>
      <c r="D83" t="s">
        <v>1</v>
      </c>
      <c r="E83" t="str">
        <f t="shared" si="2"/>
        <v>良</v>
      </c>
      <c r="F83" s="7">
        <f>IF(A83="","",IF(E83="並","-",HLOOKUP(E83,単価表!$B$1:$D$2,2,FALSE)*B83))</f>
        <v>1166.3999999999999</v>
      </c>
      <c r="G83" s="7">
        <f t="shared" si="3"/>
        <v>1200</v>
      </c>
    </row>
    <row r="84" spans="1:7">
      <c r="A84">
        <v>83</v>
      </c>
      <c r="B84">
        <v>1.2749999999999999</v>
      </c>
      <c r="C84" t="s">
        <v>3</v>
      </c>
      <c r="D84" t="s">
        <v>3</v>
      </c>
      <c r="E84" t="str">
        <f t="shared" si="2"/>
        <v>良</v>
      </c>
      <c r="F84" s="7">
        <f>IF(A84="","",IF(E84="並","-",HLOOKUP(E84,単価表!$B$1:$D$2,2,FALSE)*B84))</f>
        <v>1530</v>
      </c>
      <c r="G84" s="7">
        <f t="shared" si="3"/>
        <v>1550</v>
      </c>
    </row>
    <row r="85" spans="1:7">
      <c r="A85">
        <v>84</v>
      </c>
      <c r="B85">
        <v>0.57099999999999995</v>
      </c>
      <c r="C85" t="s">
        <v>1</v>
      </c>
      <c r="D85" t="s">
        <v>3</v>
      </c>
      <c r="E85" t="str">
        <f t="shared" si="2"/>
        <v>良</v>
      </c>
      <c r="F85" s="7">
        <f>IF(A85="","",IF(E85="並","-",HLOOKUP(E85,単価表!$B$1:$D$2,2,FALSE)*B85))</f>
        <v>685.19999999999993</v>
      </c>
      <c r="G85" s="7">
        <f t="shared" si="3"/>
        <v>700</v>
      </c>
    </row>
    <row r="86" spans="1:7">
      <c r="A86">
        <v>85</v>
      </c>
      <c r="B86">
        <v>1.1910000000000001</v>
      </c>
      <c r="C86" t="s">
        <v>3</v>
      </c>
      <c r="D86" t="s">
        <v>3</v>
      </c>
      <c r="E86" t="str">
        <f t="shared" si="2"/>
        <v>良</v>
      </c>
      <c r="F86" s="7">
        <f>IF(A86="","",IF(E86="並","-",HLOOKUP(E86,単価表!$B$1:$D$2,2,FALSE)*B86))</f>
        <v>1429.2</v>
      </c>
      <c r="G86" s="7">
        <f t="shared" si="3"/>
        <v>1450</v>
      </c>
    </row>
    <row r="87" spans="1:7">
      <c r="A87">
        <v>86</v>
      </c>
      <c r="B87">
        <v>2.073</v>
      </c>
      <c r="C87" t="s">
        <v>3</v>
      </c>
      <c r="D87" t="s">
        <v>1</v>
      </c>
      <c r="E87" t="str">
        <f t="shared" si="2"/>
        <v>良</v>
      </c>
      <c r="F87" s="7">
        <f>IF(A87="","",IF(E87="並","-",HLOOKUP(E87,単価表!$B$1:$D$2,2,FALSE)*B87))</f>
        <v>2487.6</v>
      </c>
      <c r="G87" s="7">
        <f t="shared" si="3"/>
        <v>2500</v>
      </c>
    </row>
    <row r="88" spans="1:7">
      <c r="A88">
        <v>87</v>
      </c>
      <c r="B88">
        <v>0.81</v>
      </c>
      <c r="C88" t="s">
        <v>3</v>
      </c>
      <c r="D88" t="s">
        <v>3</v>
      </c>
      <c r="E88" t="str">
        <f t="shared" si="2"/>
        <v>良</v>
      </c>
      <c r="F88" s="7">
        <f>IF(A88="","",IF(E88="並","-",HLOOKUP(E88,単価表!$B$1:$D$2,2,FALSE)*B88))</f>
        <v>972.00000000000011</v>
      </c>
      <c r="G88" s="7">
        <f t="shared" si="3"/>
        <v>1000</v>
      </c>
    </row>
    <row r="89" spans="1:7">
      <c r="A89">
        <v>88</v>
      </c>
      <c r="B89">
        <v>0.95599999999999996</v>
      </c>
      <c r="C89" t="s">
        <v>3</v>
      </c>
      <c r="D89" t="s">
        <v>5</v>
      </c>
      <c r="E89" t="str">
        <f t="shared" si="2"/>
        <v>並</v>
      </c>
      <c r="F89" s="7" t="str">
        <f>IF(A89="","",IF(E89="並","-",HLOOKUP(E89,単価表!$B$1:$D$2,2,FALSE)*B89))</f>
        <v>-</v>
      </c>
      <c r="G89" s="7" t="str">
        <f t="shared" si="3"/>
        <v>-</v>
      </c>
    </row>
    <row r="90" spans="1:7">
      <c r="A90">
        <v>89</v>
      </c>
      <c r="B90">
        <v>1.708</v>
      </c>
      <c r="C90" t="s">
        <v>1</v>
      </c>
      <c r="D90" t="s">
        <v>1</v>
      </c>
      <c r="E90" t="str">
        <f t="shared" si="2"/>
        <v>優</v>
      </c>
      <c r="F90" s="7">
        <f>IF(A90="","",IF(E90="並","-",HLOOKUP(E90,単価表!$B$1:$D$2,2,FALSE)*B90))</f>
        <v>2562</v>
      </c>
      <c r="G90" s="7">
        <f t="shared" si="3"/>
        <v>2600</v>
      </c>
    </row>
    <row r="91" spans="1:7">
      <c r="A91">
        <v>90</v>
      </c>
      <c r="B91">
        <v>2.0009999999999999</v>
      </c>
      <c r="C91" t="s">
        <v>3</v>
      </c>
      <c r="D91" t="s">
        <v>3</v>
      </c>
      <c r="E91" t="str">
        <f t="shared" si="2"/>
        <v>良</v>
      </c>
      <c r="F91" s="7">
        <f>IF(A91="","",IF(E91="並","-",HLOOKUP(E91,単価表!$B$1:$D$2,2,FALSE)*B91))</f>
        <v>2401.1999999999998</v>
      </c>
      <c r="G91" s="7">
        <f t="shared" si="3"/>
        <v>2450</v>
      </c>
    </row>
    <row r="92" spans="1:7">
      <c r="A92">
        <v>91</v>
      </c>
      <c r="B92">
        <v>2.0670000000000002</v>
      </c>
      <c r="C92" t="s">
        <v>5</v>
      </c>
      <c r="D92" t="s">
        <v>1</v>
      </c>
      <c r="E92" t="str">
        <f t="shared" si="2"/>
        <v>並</v>
      </c>
      <c r="F92" s="7" t="str">
        <f>IF(A92="","",IF(E92="並","-",HLOOKUP(E92,単価表!$B$1:$D$2,2,FALSE)*B92))</f>
        <v>-</v>
      </c>
      <c r="G92" s="7" t="str">
        <f t="shared" si="3"/>
        <v>-</v>
      </c>
    </row>
    <row r="93" spans="1:7">
      <c r="A93">
        <v>92</v>
      </c>
      <c r="B93">
        <v>1.7709999999999999</v>
      </c>
      <c r="C93" t="s">
        <v>1</v>
      </c>
      <c r="D93" t="s">
        <v>3</v>
      </c>
      <c r="E93" t="str">
        <f t="shared" si="2"/>
        <v>良</v>
      </c>
      <c r="F93" s="7">
        <f>IF(A93="","",IF(E93="並","-",HLOOKUP(E93,単価表!$B$1:$D$2,2,FALSE)*B93))</f>
        <v>2125.1999999999998</v>
      </c>
      <c r="G93" s="7">
        <f t="shared" si="3"/>
        <v>2150</v>
      </c>
    </row>
    <row r="94" spans="1:7">
      <c r="A94">
        <v>93</v>
      </c>
      <c r="B94">
        <v>0.99299999999999999</v>
      </c>
      <c r="C94" t="s">
        <v>1</v>
      </c>
      <c r="D94" t="s">
        <v>5</v>
      </c>
      <c r="E94" t="str">
        <f t="shared" si="2"/>
        <v>並</v>
      </c>
      <c r="F94" s="7" t="str">
        <f>IF(A94="","",IF(E94="並","-",HLOOKUP(E94,単価表!$B$1:$D$2,2,FALSE)*B94))</f>
        <v>-</v>
      </c>
      <c r="G94" s="7" t="str">
        <f t="shared" si="3"/>
        <v>-</v>
      </c>
    </row>
    <row r="95" spans="1:7">
      <c r="A95">
        <v>94</v>
      </c>
      <c r="B95">
        <v>0.73</v>
      </c>
      <c r="C95" t="s">
        <v>3</v>
      </c>
      <c r="D95" t="s">
        <v>5</v>
      </c>
      <c r="E95" t="str">
        <f t="shared" si="2"/>
        <v>並</v>
      </c>
      <c r="F95" s="7" t="str">
        <f>IF(A95="","",IF(E95="並","-",HLOOKUP(E95,単価表!$B$1:$D$2,2,FALSE)*B95))</f>
        <v>-</v>
      </c>
      <c r="G95" s="7" t="str">
        <f t="shared" si="3"/>
        <v>-</v>
      </c>
    </row>
    <row r="96" spans="1:7">
      <c r="A96">
        <v>95</v>
      </c>
      <c r="B96">
        <v>2.5630000000000002</v>
      </c>
      <c r="C96" t="s">
        <v>1</v>
      </c>
      <c r="D96" t="s">
        <v>1</v>
      </c>
      <c r="E96" t="str">
        <f t="shared" si="2"/>
        <v>優</v>
      </c>
      <c r="F96" s="7">
        <f>IF(A96="","",IF(E96="並","-",HLOOKUP(E96,単価表!$B$1:$D$2,2,FALSE)*B96))</f>
        <v>3844.5000000000005</v>
      </c>
      <c r="G96" s="7">
        <f t="shared" si="3"/>
        <v>3850</v>
      </c>
    </row>
    <row r="97" spans="1:7">
      <c r="A97">
        <v>96</v>
      </c>
      <c r="B97">
        <v>1.4650000000000001</v>
      </c>
      <c r="C97" t="s">
        <v>5</v>
      </c>
      <c r="D97" t="s">
        <v>1</v>
      </c>
      <c r="E97" t="str">
        <f t="shared" si="2"/>
        <v>並</v>
      </c>
      <c r="F97" s="7" t="str">
        <f>IF(A97="","",IF(E97="並","-",HLOOKUP(E97,単価表!$B$1:$D$2,2,FALSE)*B97))</f>
        <v>-</v>
      </c>
      <c r="G97" s="7" t="str">
        <f t="shared" si="3"/>
        <v>-</v>
      </c>
    </row>
    <row r="98" spans="1:7">
      <c r="A98">
        <v>97</v>
      </c>
      <c r="B98">
        <v>2.6840000000000002</v>
      </c>
      <c r="C98" t="s">
        <v>3</v>
      </c>
      <c r="D98" t="s">
        <v>5</v>
      </c>
      <c r="E98" t="str">
        <f t="shared" si="2"/>
        <v>並</v>
      </c>
      <c r="F98" s="7" t="str">
        <f>IF(A98="","",IF(E98="並","-",HLOOKUP(E98,単価表!$B$1:$D$2,2,FALSE)*B98))</f>
        <v>-</v>
      </c>
      <c r="G98" s="7" t="str">
        <f t="shared" si="3"/>
        <v>-</v>
      </c>
    </row>
    <row r="99" spans="1:7">
      <c r="A99">
        <v>98</v>
      </c>
      <c r="B99">
        <v>1.1200000000000001</v>
      </c>
      <c r="C99" t="s">
        <v>5</v>
      </c>
      <c r="D99" t="s">
        <v>5</v>
      </c>
      <c r="E99" t="str">
        <f t="shared" si="2"/>
        <v>並</v>
      </c>
      <c r="F99" s="7" t="str">
        <f>IF(A99="","",IF(E99="並","-",HLOOKUP(E99,単価表!$B$1:$D$2,2,FALSE)*B99))</f>
        <v>-</v>
      </c>
      <c r="G99" s="7" t="str">
        <f t="shared" si="3"/>
        <v>-</v>
      </c>
    </row>
    <row r="100" spans="1:7">
      <c r="A100">
        <v>99</v>
      </c>
      <c r="B100">
        <v>2.7759999999999998</v>
      </c>
      <c r="C100" t="s">
        <v>3</v>
      </c>
      <c r="D100" t="s">
        <v>1</v>
      </c>
      <c r="E100" t="str">
        <f t="shared" si="2"/>
        <v>良</v>
      </c>
      <c r="F100" s="7">
        <f>IF(A100="","",IF(E100="並","-",HLOOKUP(E100,単価表!$B$1:$D$2,2,FALSE)*B100))</f>
        <v>3331.2</v>
      </c>
      <c r="G100" s="7">
        <f t="shared" si="3"/>
        <v>3350</v>
      </c>
    </row>
    <row r="101" spans="1:7">
      <c r="A101">
        <v>100</v>
      </c>
      <c r="B101">
        <v>1.2290000000000001</v>
      </c>
      <c r="C101" t="s">
        <v>3</v>
      </c>
      <c r="D101" t="s">
        <v>5</v>
      </c>
      <c r="E101" t="str">
        <f t="shared" si="2"/>
        <v>並</v>
      </c>
      <c r="F101" s="7" t="str">
        <f>IF(A101="","",IF(E101="並","-",HLOOKUP(E101,単価表!$B$1:$D$2,2,FALSE)*B101))</f>
        <v>-</v>
      </c>
      <c r="G101" s="7" t="str">
        <f t="shared" si="3"/>
        <v>-</v>
      </c>
    </row>
    <row r="102" spans="1:7">
      <c r="A102">
        <v>101</v>
      </c>
      <c r="B102">
        <v>0.73299999999999998</v>
      </c>
      <c r="C102" t="s">
        <v>5</v>
      </c>
      <c r="D102" t="s">
        <v>1</v>
      </c>
      <c r="E102" t="str">
        <f t="shared" si="2"/>
        <v>並</v>
      </c>
      <c r="F102" s="7" t="str">
        <f>IF(A102="","",IF(E102="並","-",HLOOKUP(E102,単価表!$B$1:$D$2,2,FALSE)*B102))</f>
        <v>-</v>
      </c>
      <c r="G102" s="7" t="str">
        <f t="shared" si="3"/>
        <v>-</v>
      </c>
    </row>
    <row r="103" spans="1:7">
      <c r="A103">
        <v>102</v>
      </c>
      <c r="B103">
        <v>2.6259999999999999</v>
      </c>
      <c r="C103" t="s">
        <v>1</v>
      </c>
      <c r="D103" t="s">
        <v>5</v>
      </c>
      <c r="E103" t="str">
        <f t="shared" si="2"/>
        <v>並</v>
      </c>
      <c r="F103" s="7" t="str">
        <f>IF(A103="","",IF(E103="並","-",HLOOKUP(E103,単価表!$B$1:$D$2,2,FALSE)*B103))</f>
        <v>-</v>
      </c>
      <c r="G103" s="7" t="str">
        <f t="shared" si="3"/>
        <v>-</v>
      </c>
    </row>
    <row r="104" spans="1:7">
      <c r="A104">
        <v>103</v>
      </c>
      <c r="B104">
        <v>1.363</v>
      </c>
      <c r="C104" t="s">
        <v>1</v>
      </c>
      <c r="D104" t="s">
        <v>1</v>
      </c>
      <c r="E104" t="str">
        <f t="shared" si="2"/>
        <v>優</v>
      </c>
      <c r="F104" s="7">
        <f>IF(A104="","",IF(E104="並","-",HLOOKUP(E104,単価表!$B$1:$D$2,2,FALSE)*B104))</f>
        <v>2044.5</v>
      </c>
      <c r="G104" s="7">
        <f t="shared" si="3"/>
        <v>2050</v>
      </c>
    </row>
    <row r="105" spans="1:7">
      <c r="A105">
        <v>104</v>
      </c>
      <c r="B105">
        <v>2.8559999999999999</v>
      </c>
      <c r="C105" t="s">
        <v>3</v>
      </c>
      <c r="D105" t="s">
        <v>3</v>
      </c>
      <c r="E105" t="str">
        <f t="shared" si="2"/>
        <v>良</v>
      </c>
      <c r="F105" s="7">
        <f>IF(A105="","",IF(E105="並","-",HLOOKUP(E105,単価表!$B$1:$D$2,2,FALSE)*B105))</f>
        <v>3427.2</v>
      </c>
      <c r="G105" s="7">
        <f t="shared" si="3"/>
        <v>3450</v>
      </c>
    </row>
    <row r="106" spans="1:7">
      <c r="A106">
        <v>105</v>
      </c>
      <c r="B106">
        <v>1.3520000000000001</v>
      </c>
      <c r="C106" t="s">
        <v>1</v>
      </c>
      <c r="D106" t="s">
        <v>3</v>
      </c>
      <c r="E106" t="str">
        <f t="shared" si="2"/>
        <v>良</v>
      </c>
      <c r="F106" s="7">
        <f>IF(A106="","",IF(E106="並","-",HLOOKUP(E106,単価表!$B$1:$D$2,2,FALSE)*B106))</f>
        <v>1622.4</v>
      </c>
      <c r="G106" s="7">
        <f t="shared" si="3"/>
        <v>1650</v>
      </c>
    </row>
    <row r="107" spans="1:7">
      <c r="A107">
        <v>106</v>
      </c>
      <c r="B107">
        <v>1.083</v>
      </c>
      <c r="C107" t="s">
        <v>1</v>
      </c>
      <c r="D107" t="s">
        <v>3</v>
      </c>
      <c r="E107" t="str">
        <f t="shared" si="2"/>
        <v>良</v>
      </c>
      <c r="F107" s="7">
        <f>IF(A107="","",IF(E107="並","-",HLOOKUP(E107,単価表!$B$1:$D$2,2,FALSE)*B107))</f>
        <v>1299.5999999999999</v>
      </c>
      <c r="G107" s="7">
        <f t="shared" si="3"/>
        <v>1300</v>
      </c>
    </row>
    <row r="108" spans="1:7">
      <c r="A108">
        <v>107</v>
      </c>
      <c r="B108">
        <v>1.3959999999999999</v>
      </c>
      <c r="C108" t="s">
        <v>1</v>
      </c>
      <c r="D108" t="s">
        <v>1</v>
      </c>
      <c r="E108" t="str">
        <f t="shared" si="2"/>
        <v>優</v>
      </c>
      <c r="F108" s="7">
        <f>IF(A108="","",IF(E108="並","-",HLOOKUP(E108,単価表!$B$1:$D$2,2,FALSE)*B108))</f>
        <v>2094</v>
      </c>
      <c r="G108" s="7">
        <f t="shared" si="3"/>
        <v>2100</v>
      </c>
    </row>
    <row r="109" spans="1:7">
      <c r="A109">
        <v>108</v>
      </c>
      <c r="B109">
        <v>2.7839999999999998</v>
      </c>
      <c r="C109" t="s">
        <v>5</v>
      </c>
      <c r="D109" t="s">
        <v>5</v>
      </c>
      <c r="E109" t="str">
        <f t="shared" si="2"/>
        <v>並</v>
      </c>
      <c r="F109" s="7" t="str">
        <f>IF(A109="","",IF(E109="並","-",HLOOKUP(E109,単価表!$B$1:$D$2,2,FALSE)*B109))</f>
        <v>-</v>
      </c>
      <c r="G109" s="7" t="str">
        <f t="shared" si="3"/>
        <v>-</v>
      </c>
    </row>
    <row r="110" spans="1:7">
      <c r="A110">
        <v>109</v>
      </c>
      <c r="B110">
        <v>2.7509999999999999</v>
      </c>
      <c r="C110" t="s">
        <v>5</v>
      </c>
      <c r="D110" t="s">
        <v>1</v>
      </c>
      <c r="E110" t="str">
        <f t="shared" si="2"/>
        <v>並</v>
      </c>
      <c r="F110" s="7" t="str">
        <f>IF(A110="","",IF(E110="並","-",HLOOKUP(E110,単価表!$B$1:$D$2,2,FALSE)*B110))</f>
        <v>-</v>
      </c>
      <c r="G110" s="7" t="str">
        <f t="shared" si="3"/>
        <v>-</v>
      </c>
    </row>
    <row r="111" spans="1:7">
      <c r="A111">
        <v>110</v>
      </c>
      <c r="B111">
        <v>0.81699999999999995</v>
      </c>
      <c r="C111" t="s">
        <v>5</v>
      </c>
      <c r="D111" t="s">
        <v>5</v>
      </c>
      <c r="E111" t="str">
        <f t="shared" si="2"/>
        <v>並</v>
      </c>
      <c r="F111" s="7" t="str">
        <f>IF(A111="","",IF(E111="並","-",HLOOKUP(E111,単価表!$B$1:$D$2,2,FALSE)*B111))</f>
        <v>-</v>
      </c>
      <c r="G111" s="7" t="str">
        <f t="shared" si="3"/>
        <v>-</v>
      </c>
    </row>
    <row r="112" spans="1:7">
      <c r="A112">
        <v>111</v>
      </c>
      <c r="B112">
        <v>1.7330000000000001</v>
      </c>
      <c r="C112" t="s">
        <v>3</v>
      </c>
      <c r="D112" t="s">
        <v>5</v>
      </c>
      <c r="E112" t="str">
        <f t="shared" si="2"/>
        <v>並</v>
      </c>
      <c r="F112" s="7" t="str">
        <f>IF(A112="","",IF(E112="並","-",HLOOKUP(E112,単価表!$B$1:$D$2,2,FALSE)*B112))</f>
        <v>-</v>
      </c>
      <c r="G112" s="7" t="str">
        <f t="shared" si="3"/>
        <v>-</v>
      </c>
    </row>
    <row r="113" spans="1:7">
      <c r="A113">
        <v>112</v>
      </c>
      <c r="B113">
        <v>1.825</v>
      </c>
      <c r="C113" t="s">
        <v>1</v>
      </c>
      <c r="D113" t="s">
        <v>1</v>
      </c>
      <c r="E113" t="str">
        <f t="shared" si="2"/>
        <v>優</v>
      </c>
      <c r="F113" s="7">
        <f>IF(A113="","",IF(E113="並","-",HLOOKUP(E113,単価表!$B$1:$D$2,2,FALSE)*B113))</f>
        <v>2737.5</v>
      </c>
      <c r="G113" s="7">
        <f t="shared" si="3"/>
        <v>2750</v>
      </c>
    </row>
    <row r="114" spans="1:7">
      <c r="A114">
        <v>113</v>
      </c>
      <c r="B114">
        <v>0.51500000000000001</v>
      </c>
      <c r="C114" t="s">
        <v>5</v>
      </c>
      <c r="D114" t="s">
        <v>5</v>
      </c>
      <c r="E114" t="str">
        <f t="shared" si="2"/>
        <v>並</v>
      </c>
      <c r="F114" s="7" t="str">
        <f>IF(A114="","",IF(E114="並","-",HLOOKUP(E114,単価表!$B$1:$D$2,2,FALSE)*B114))</f>
        <v>-</v>
      </c>
      <c r="G114" s="7" t="str">
        <f t="shared" si="3"/>
        <v>-</v>
      </c>
    </row>
    <row r="115" spans="1:7">
      <c r="A115">
        <v>114</v>
      </c>
      <c r="B115">
        <v>1.113</v>
      </c>
      <c r="C115" t="s">
        <v>1</v>
      </c>
      <c r="D115" t="s">
        <v>1</v>
      </c>
      <c r="E115" t="str">
        <f t="shared" si="2"/>
        <v>優</v>
      </c>
      <c r="F115" s="7">
        <f>IF(A115="","",IF(E115="並","-",HLOOKUP(E115,単価表!$B$1:$D$2,2,FALSE)*B115))</f>
        <v>1669.5</v>
      </c>
      <c r="G115" s="7">
        <f t="shared" si="3"/>
        <v>1700</v>
      </c>
    </row>
    <row r="116" spans="1:7">
      <c r="A116">
        <v>115</v>
      </c>
      <c r="B116">
        <v>0.91600000000000004</v>
      </c>
      <c r="C116" t="s">
        <v>5</v>
      </c>
      <c r="D116" t="s">
        <v>5</v>
      </c>
      <c r="E116" t="str">
        <f t="shared" si="2"/>
        <v>並</v>
      </c>
      <c r="F116" s="7" t="str">
        <f>IF(A116="","",IF(E116="並","-",HLOOKUP(E116,単価表!$B$1:$D$2,2,FALSE)*B116))</f>
        <v>-</v>
      </c>
      <c r="G116" s="7" t="str">
        <f t="shared" si="3"/>
        <v>-</v>
      </c>
    </row>
    <row r="117" spans="1:7">
      <c r="A117">
        <v>116</v>
      </c>
      <c r="B117">
        <v>2.5049999999999999</v>
      </c>
      <c r="C117" t="s">
        <v>1</v>
      </c>
      <c r="D117" t="s">
        <v>1</v>
      </c>
      <c r="E117" t="str">
        <f t="shared" si="2"/>
        <v>優</v>
      </c>
      <c r="F117" s="7">
        <f>IF(A117="","",IF(E117="並","-",HLOOKUP(E117,単価表!$B$1:$D$2,2,FALSE)*B117))</f>
        <v>3757.5</v>
      </c>
      <c r="G117" s="7">
        <f t="shared" si="3"/>
        <v>3800</v>
      </c>
    </row>
    <row r="118" spans="1:7">
      <c r="A118">
        <v>117</v>
      </c>
      <c r="B118">
        <v>0.85199999999999998</v>
      </c>
      <c r="C118" t="s">
        <v>3</v>
      </c>
      <c r="D118" t="s">
        <v>1</v>
      </c>
      <c r="E118" t="str">
        <f t="shared" si="2"/>
        <v>良</v>
      </c>
      <c r="F118" s="7">
        <f>IF(A118="","",IF(E118="並","-",HLOOKUP(E118,単価表!$B$1:$D$2,2,FALSE)*B118))</f>
        <v>1022.4</v>
      </c>
      <c r="G118" s="7">
        <f t="shared" si="3"/>
        <v>1050</v>
      </c>
    </row>
    <row r="119" spans="1:7">
      <c r="A119">
        <v>118</v>
      </c>
      <c r="B119">
        <v>1.0149999999999999</v>
      </c>
      <c r="C119" t="s">
        <v>1</v>
      </c>
      <c r="D119" t="s">
        <v>1</v>
      </c>
      <c r="E119" t="str">
        <f t="shared" si="2"/>
        <v>優</v>
      </c>
      <c r="F119" s="7">
        <f>IF(A119="","",IF(E119="並","-",HLOOKUP(E119,単価表!$B$1:$D$2,2,FALSE)*B119))</f>
        <v>1522.4999999999998</v>
      </c>
      <c r="G119" s="7">
        <f t="shared" si="3"/>
        <v>1550</v>
      </c>
    </row>
    <row r="120" spans="1:7">
      <c r="A120">
        <v>119</v>
      </c>
      <c r="B120">
        <v>1.7410000000000001</v>
      </c>
      <c r="C120" t="s">
        <v>1</v>
      </c>
      <c r="D120" t="s">
        <v>5</v>
      </c>
      <c r="E120" t="str">
        <f t="shared" si="2"/>
        <v>並</v>
      </c>
      <c r="F120" s="7" t="str">
        <f>IF(A120="","",IF(E120="並","-",HLOOKUP(E120,単価表!$B$1:$D$2,2,FALSE)*B120))</f>
        <v>-</v>
      </c>
      <c r="G120" s="7" t="str">
        <f t="shared" si="3"/>
        <v>-</v>
      </c>
    </row>
    <row r="121" spans="1:7">
      <c r="A121">
        <v>120</v>
      </c>
      <c r="B121">
        <v>1.9</v>
      </c>
      <c r="C121" t="s">
        <v>5</v>
      </c>
      <c r="D121" t="s">
        <v>3</v>
      </c>
      <c r="E121" t="str">
        <f t="shared" si="2"/>
        <v>並</v>
      </c>
      <c r="F121" s="7" t="str">
        <f>IF(A121="","",IF(E121="並","-",HLOOKUP(E121,単価表!$B$1:$D$2,2,FALSE)*B121))</f>
        <v>-</v>
      </c>
      <c r="G121" s="7" t="str">
        <f t="shared" si="3"/>
        <v>-</v>
      </c>
    </row>
    <row r="122" spans="1:7">
      <c r="A122">
        <v>121</v>
      </c>
      <c r="B122">
        <v>2.9350000000000001</v>
      </c>
      <c r="C122" t="s">
        <v>1</v>
      </c>
      <c r="D122" t="s">
        <v>5</v>
      </c>
      <c r="E122" t="str">
        <f t="shared" si="2"/>
        <v>並</v>
      </c>
      <c r="F122" s="7" t="str">
        <f>IF(A122="","",IF(E122="並","-",HLOOKUP(E122,単価表!$B$1:$D$2,2,FALSE)*B122))</f>
        <v>-</v>
      </c>
      <c r="G122" s="7" t="str">
        <f t="shared" si="3"/>
        <v>-</v>
      </c>
    </row>
    <row r="123" spans="1:7">
      <c r="A123">
        <v>122</v>
      </c>
      <c r="B123">
        <v>2.6120000000000001</v>
      </c>
      <c r="C123" t="s">
        <v>5</v>
      </c>
      <c r="D123" t="s">
        <v>1</v>
      </c>
      <c r="E123" t="str">
        <f t="shared" si="2"/>
        <v>並</v>
      </c>
      <c r="F123" s="7" t="str">
        <f>IF(A123="","",IF(E123="並","-",HLOOKUP(E123,単価表!$B$1:$D$2,2,FALSE)*B123))</f>
        <v>-</v>
      </c>
      <c r="G123" s="7" t="str">
        <f t="shared" si="3"/>
        <v>-</v>
      </c>
    </row>
    <row r="124" spans="1:7">
      <c r="A124">
        <v>123</v>
      </c>
      <c r="B124">
        <v>0.53300000000000003</v>
      </c>
      <c r="C124" t="s">
        <v>5</v>
      </c>
      <c r="D124" t="s">
        <v>5</v>
      </c>
      <c r="E124" t="str">
        <f t="shared" si="2"/>
        <v>並</v>
      </c>
      <c r="F124" s="7" t="str">
        <f>IF(A124="","",IF(E124="並","-",HLOOKUP(E124,単価表!$B$1:$D$2,2,FALSE)*B124))</f>
        <v>-</v>
      </c>
      <c r="G124" s="7" t="str">
        <f t="shared" si="3"/>
        <v>-</v>
      </c>
    </row>
    <row r="125" spans="1:7">
      <c r="A125">
        <v>124</v>
      </c>
      <c r="B125">
        <v>0.90700000000000003</v>
      </c>
      <c r="C125" t="s">
        <v>5</v>
      </c>
      <c r="D125" t="s">
        <v>5</v>
      </c>
      <c r="E125" t="str">
        <f t="shared" si="2"/>
        <v>並</v>
      </c>
      <c r="F125" s="7" t="str">
        <f>IF(A125="","",IF(E125="並","-",HLOOKUP(E125,単価表!$B$1:$D$2,2,FALSE)*B125))</f>
        <v>-</v>
      </c>
      <c r="G125" s="7" t="str">
        <f t="shared" si="3"/>
        <v>-</v>
      </c>
    </row>
    <row r="126" spans="1:7">
      <c r="A126">
        <v>125</v>
      </c>
      <c r="B126">
        <v>2.8</v>
      </c>
      <c r="C126" t="s">
        <v>3</v>
      </c>
      <c r="D126" t="s">
        <v>1</v>
      </c>
      <c r="E126" t="str">
        <f t="shared" si="2"/>
        <v>良</v>
      </c>
      <c r="F126" s="7">
        <f>IF(A126="","",IF(E126="並","-",HLOOKUP(E126,単価表!$B$1:$D$2,2,FALSE)*B126))</f>
        <v>3360</v>
      </c>
      <c r="G126" s="7">
        <f t="shared" si="3"/>
        <v>3400</v>
      </c>
    </row>
    <row r="127" spans="1:7">
      <c r="A127">
        <v>126</v>
      </c>
      <c r="B127">
        <v>2.343</v>
      </c>
      <c r="C127" t="s">
        <v>5</v>
      </c>
      <c r="D127" t="s">
        <v>3</v>
      </c>
      <c r="E127" t="str">
        <f t="shared" si="2"/>
        <v>並</v>
      </c>
      <c r="F127" s="7" t="str">
        <f>IF(A127="","",IF(E127="並","-",HLOOKUP(E127,単価表!$B$1:$D$2,2,FALSE)*B127))</f>
        <v>-</v>
      </c>
      <c r="G127" s="7" t="str">
        <f t="shared" si="3"/>
        <v>-</v>
      </c>
    </row>
    <row r="128" spans="1:7">
      <c r="A128">
        <v>127</v>
      </c>
      <c r="B128">
        <v>2.016</v>
      </c>
      <c r="C128" t="s">
        <v>1</v>
      </c>
      <c r="D128" t="s">
        <v>1</v>
      </c>
      <c r="E128" t="str">
        <f t="shared" si="2"/>
        <v>優</v>
      </c>
      <c r="F128" s="7">
        <f>IF(A128="","",IF(E128="並","-",HLOOKUP(E128,単価表!$B$1:$D$2,2,FALSE)*B128))</f>
        <v>3024</v>
      </c>
      <c r="G128" s="7">
        <f t="shared" si="3"/>
        <v>3050</v>
      </c>
    </row>
    <row r="129" spans="1:7">
      <c r="A129">
        <v>128</v>
      </c>
      <c r="B129">
        <v>0.86099999999999999</v>
      </c>
      <c r="C129" t="s">
        <v>3</v>
      </c>
      <c r="D129" t="s">
        <v>3</v>
      </c>
      <c r="E129" t="str">
        <f t="shared" si="2"/>
        <v>良</v>
      </c>
      <c r="F129" s="7">
        <f>IF(A129="","",IF(E129="並","-",HLOOKUP(E129,単価表!$B$1:$D$2,2,FALSE)*B129))</f>
        <v>1033.2</v>
      </c>
      <c r="G129" s="7">
        <f t="shared" si="3"/>
        <v>1050</v>
      </c>
    </row>
    <row r="130" spans="1:7">
      <c r="A130">
        <v>129</v>
      </c>
      <c r="B130">
        <v>2.7949999999999999</v>
      </c>
      <c r="C130" t="s">
        <v>5</v>
      </c>
      <c r="D130" t="s">
        <v>5</v>
      </c>
      <c r="E130" t="str">
        <f t="shared" si="2"/>
        <v>並</v>
      </c>
      <c r="F130" s="7" t="str">
        <f>IF(A130="","",IF(E130="並","-",HLOOKUP(E130,単価表!$B$1:$D$2,2,FALSE)*B130))</f>
        <v>-</v>
      </c>
      <c r="G130" s="7" t="str">
        <f t="shared" si="3"/>
        <v>-</v>
      </c>
    </row>
    <row r="131" spans="1:7">
      <c r="A131">
        <v>130</v>
      </c>
      <c r="B131">
        <v>1.321</v>
      </c>
      <c r="C131" t="s">
        <v>3</v>
      </c>
      <c r="D131" t="s">
        <v>1</v>
      </c>
      <c r="E131" t="str">
        <f t="shared" ref="E131:E194" si="4">IF(A131="","",IF(OR(C131="並",D131="並"),"並",IF(OR(C131="良",D131="良"),"良","優")))</f>
        <v>良</v>
      </c>
      <c r="F131" s="7">
        <f>IF(A131="","",IF(E131="並","-",HLOOKUP(E131,単価表!$B$1:$D$2,2,FALSE)*B131))</f>
        <v>1585.2</v>
      </c>
      <c r="G131" s="7">
        <f t="shared" si="3"/>
        <v>1600</v>
      </c>
    </row>
    <row r="132" spans="1:7">
      <c r="A132">
        <v>131</v>
      </c>
      <c r="B132">
        <v>1.335</v>
      </c>
      <c r="C132" t="s">
        <v>5</v>
      </c>
      <c r="D132" t="s">
        <v>1</v>
      </c>
      <c r="E132" t="str">
        <f t="shared" si="4"/>
        <v>並</v>
      </c>
      <c r="F132" s="7" t="str">
        <f>IF(A132="","",IF(E132="並","-",HLOOKUP(E132,単価表!$B$1:$D$2,2,FALSE)*B132))</f>
        <v>-</v>
      </c>
      <c r="G132" s="7" t="str">
        <f t="shared" ref="G132:G195" si="5">IF(A132="","",IF(E132="並","-",ROUNDUP(F132/50,0)*50))</f>
        <v>-</v>
      </c>
    </row>
    <row r="133" spans="1:7">
      <c r="A133">
        <v>132</v>
      </c>
      <c r="B133">
        <v>1.4510000000000001</v>
      </c>
      <c r="C133" t="s">
        <v>5</v>
      </c>
      <c r="D133" t="s">
        <v>3</v>
      </c>
      <c r="E133" t="str">
        <f t="shared" si="4"/>
        <v>並</v>
      </c>
      <c r="F133" s="7" t="str">
        <f>IF(A133="","",IF(E133="並","-",HLOOKUP(E133,単価表!$B$1:$D$2,2,FALSE)*B133))</f>
        <v>-</v>
      </c>
      <c r="G133" s="7" t="str">
        <f t="shared" si="5"/>
        <v>-</v>
      </c>
    </row>
    <row r="134" spans="1:7">
      <c r="A134">
        <v>133</v>
      </c>
      <c r="B134">
        <v>1.01</v>
      </c>
      <c r="C134" t="s">
        <v>1</v>
      </c>
      <c r="D134" t="s">
        <v>5</v>
      </c>
      <c r="E134" t="str">
        <f t="shared" si="4"/>
        <v>並</v>
      </c>
      <c r="F134" s="7" t="str">
        <f>IF(A134="","",IF(E134="並","-",HLOOKUP(E134,単価表!$B$1:$D$2,2,FALSE)*B134))</f>
        <v>-</v>
      </c>
      <c r="G134" s="7" t="str">
        <f t="shared" si="5"/>
        <v>-</v>
      </c>
    </row>
    <row r="135" spans="1:7">
      <c r="A135">
        <v>134</v>
      </c>
      <c r="B135">
        <v>1.651</v>
      </c>
      <c r="C135" t="s">
        <v>3</v>
      </c>
      <c r="D135" t="s">
        <v>3</v>
      </c>
      <c r="E135" t="str">
        <f t="shared" si="4"/>
        <v>良</v>
      </c>
      <c r="F135" s="7">
        <f>IF(A135="","",IF(E135="並","-",HLOOKUP(E135,単価表!$B$1:$D$2,2,FALSE)*B135))</f>
        <v>1981.2</v>
      </c>
      <c r="G135" s="7">
        <f t="shared" si="5"/>
        <v>2000</v>
      </c>
    </row>
    <row r="136" spans="1:7">
      <c r="A136">
        <v>135</v>
      </c>
      <c r="B136">
        <v>0.88</v>
      </c>
      <c r="C136" t="s">
        <v>3</v>
      </c>
      <c r="D136" t="s">
        <v>5</v>
      </c>
      <c r="E136" t="str">
        <f t="shared" si="4"/>
        <v>並</v>
      </c>
      <c r="F136" s="7" t="str">
        <f>IF(A136="","",IF(E136="並","-",HLOOKUP(E136,単価表!$B$1:$D$2,2,FALSE)*B136))</f>
        <v>-</v>
      </c>
      <c r="G136" s="7" t="str">
        <f t="shared" si="5"/>
        <v>-</v>
      </c>
    </row>
    <row r="137" spans="1:7">
      <c r="A137">
        <v>136</v>
      </c>
      <c r="B137">
        <v>1.5720000000000001</v>
      </c>
      <c r="C137" t="s">
        <v>1</v>
      </c>
      <c r="D137" t="s">
        <v>3</v>
      </c>
      <c r="E137" t="str">
        <f t="shared" si="4"/>
        <v>良</v>
      </c>
      <c r="F137" s="7">
        <f>IF(A137="","",IF(E137="並","-",HLOOKUP(E137,単価表!$B$1:$D$2,2,FALSE)*B137))</f>
        <v>1886.4</v>
      </c>
      <c r="G137" s="7">
        <f t="shared" si="5"/>
        <v>1900</v>
      </c>
    </row>
    <row r="138" spans="1:7">
      <c r="A138">
        <v>137</v>
      </c>
      <c r="B138">
        <v>1.5589999999999999</v>
      </c>
      <c r="C138" t="s">
        <v>1</v>
      </c>
      <c r="D138" t="s">
        <v>5</v>
      </c>
      <c r="E138" t="str">
        <f t="shared" si="4"/>
        <v>並</v>
      </c>
      <c r="F138" s="7" t="str">
        <f>IF(A138="","",IF(E138="並","-",HLOOKUP(E138,単価表!$B$1:$D$2,2,FALSE)*B138))</f>
        <v>-</v>
      </c>
      <c r="G138" s="7" t="str">
        <f t="shared" si="5"/>
        <v>-</v>
      </c>
    </row>
    <row r="139" spans="1:7">
      <c r="A139">
        <v>138</v>
      </c>
      <c r="B139">
        <v>2.0299999999999998</v>
      </c>
      <c r="C139" t="s">
        <v>1</v>
      </c>
      <c r="D139" t="s">
        <v>5</v>
      </c>
      <c r="E139" t="str">
        <f t="shared" si="4"/>
        <v>並</v>
      </c>
      <c r="F139" s="7" t="str">
        <f>IF(A139="","",IF(E139="並","-",HLOOKUP(E139,単価表!$B$1:$D$2,2,FALSE)*B139))</f>
        <v>-</v>
      </c>
      <c r="G139" s="7" t="str">
        <f t="shared" si="5"/>
        <v>-</v>
      </c>
    </row>
    <row r="140" spans="1:7">
      <c r="A140">
        <v>139</v>
      </c>
      <c r="B140">
        <v>0.73299999999999998</v>
      </c>
      <c r="C140" t="s">
        <v>5</v>
      </c>
      <c r="D140" t="s">
        <v>3</v>
      </c>
      <c r="E140" t="str">
        <f t="shared" si="4"/>
        <v>並</v>
      </c>
      <c r="F140" s="7" t="str">
        <f>IF(A140="","",IF(E140="並","-",HLOOKUP(E140,単価表!$B$1:$D$2,2,FALSE)*B140))</f>
        <v>-</v>
      </c>
      <c r="G140" s="7" t="str">
        <f t="shared" si="5"/>
        <v>-</v>
      </c>
    </row>
    <row r="141" spans="1:7">
      <c r="A141">
        <v>140</v>
      </c>
      <c r="B141">
        <v>2.2589999999999999</v>
      </c>
      <c r="C141" t="s">
        <v>5</v>
      </c>
      <c r="D141" t="s">
        <v>1</v>
      </c>
      <c r="E141" t="str">
        <f t="shared" si="4"/>
        <v>並</v>
      </c>
      <c r="F141" s="7" t="str">
        <f>IF(A141="","",IF(E141="並","-",HLOOKUP(E141,単価表!$B$1:$D$2,2,FALSE)*B141))</f>
        <v>-</v>
      </c>
      <c r="G141" s="7" t="str">
        <f t="shared" si="5"/>
        <v>-</v>
      </c>
    </row>
    <row r="142" spans="1:7">
      <c r="A142">
        <v>141</v>
      </c>
      <c r="B142">
        <v>2.8540000000000001</v>
      </c>
      <c r="C142" t="s">
        <v>1</v>
      </c>
      <c r="D142" t="s">
        <v>3</v>
      </c>
      <c r="E142" t="str">
        <f t="shared" si="4"/>
        <v>良</v>
      </c>
      <c r="F142" s="7">
        <f>IF(A142="","",IF(E142="並","-",HLOOKUP(E142,単価表!$B$1:$D$2,2,FALSE)*B142))</f>
        <v>3424.8</v>
      </c>
      <c r="G142" s="7">
        <f t="shared" si="5"/>
        <v>3450</v>
      </c>
    </row>
    <row r="143" spans="1:7">
      <c r="A143">
        <v>142</v>
      </c>
      <c r="B143">
        <v>2.1139999999999999</v>
      </c>
      <c r="C143" t="s">
        <v>1</v>
      </c>
      <c r="D143" t="s">
        <v>5</v>
      </c>
      <c r="E143" t="str">
        <f t="shared" si="4"/>
        <v>並</v>
      </c>
      <c r="F143" s="7" t="str">
        <f>IF(A143="","",IF(E143="並","-",HLOOKUP(E143,単価表!$B$1:$D$2,2,FALSE)*B143))</f>
        <v>-</v>
      </c>
      <c r="G143" s="7" t="str">
        <f t="shared" si="5"/>
        <v>-</v>
      </c>
    </row>
    <row r="144" spans="1:7">
      <c r="A144">
        <v>143</v>
      </c>
      <c r="B144">
        <v>2.7610000000000001</v>
      </c>
      <c r="C144" t="s">
        <v>3</v>
      </c>
      <c r="D144" t="s">
        <v>5</v>
      </c>
      <c r="E144" t="str">
        <f t="shared" si="4"/>
        <v>並</v>
      </c>
      <c r="F144" s="7" t="str">
        <f>IF(A144="","",IF(E144="並","-",HLOOKUP(E144,単価表!$B$1:$D$2,2,FALSE)*B144))</f>
        <v>-</v>
      </c>
      <c r="G144" s="7" t="str">
        <f t="shared" si="5"/>
        <v>-</v>
      </c>
    </row>
    <row r="145" spans="1:7">
      <c r="A145">
        <v>144</v>
      </c>
      <c r="B145">
        <v>1.0609999999999999</v>
      </c>
      <c r="C145" t="s">
        <v>5</v>
      </c>
      <c r="D145" t="s">
        <v>1</v>
      </c>
      <c r="E145" t="str">
        <f t="shared" si="4"/>
        <v>並</v>
      </c>
      <c r="F145" s="7" t="str">
        <f>IF(A145="","",IF(E145="並","-",HLOOKUP(E145,単価表!$B$1:$D$2,2,FALSE)*B145))</f>
        <v>-</v>
      </c>
      <c r="G145" s="7" t="str">
        <f t="shared" si="5"/>
        <v>-</v>
      </c>
    </row>
    <row r="146" spans="1:7">
      <c r="A146">
        <v>145</v>
      </c>
      <c r="B146">
        <v>1.27</v>
      </c>
      <c r="C146" t="s">
        <v>3</v>
      </c>
      <c r="D146" t="s">
        <v>5</v>
      </c>
      <c r="E146" t="str">
        <f t="shared" si="4"/>
        <v>並</v>
      </c>
      <c r="F146" s="7" t="str">
        <f>IF(A146="","",IF(E146="並","-",HLOOKUP(E146,単価表!$B$1:$D$2,2,FALSE)*B146))</f>
        <v>-</v>
      </c>
      <c r="G146" s="7" t="str">
        <f t="shared" si="5"/>
        <v>-</v>
      </c>
    </row>
    <row r="147" spans="1:7">
      <c r="A147">
        <v>146</v>
      </c>
      <c r="B147">
        <v>1.5820000000000001</v>
      </c>
      <c r="C147" t="s">
        <v>1</v>
      </c>
      <c r="D147" t="s">
        <v>3</v>
      </c>
      <c r="E147" t="str">
        <f t="shared" si="4"/>
        <v>良</v>
      </c>
      <c r="F147" s="7">
        <f>IF(A147="","",IF(E147="並","-",HLOOKUP(E147,単価表!$B$1:$D$2,2,FALSE)*B147))</f>
        <v>1898.4</v>
      </c>
      <c r="G147" s="7">
        <f t="shared" si="5"/>
        <v>1900</v>
      </c>
    </row>
    <row r="148" spans="1:7">
      <c r="A148">
        <v>147</v>
      </c>
      <c r="B148">
        <v>1.3819999999999999</v>
      </c>
      <c r="C148" t="s">
        <v>1</v>
      </c>
      <c r="D148" t="s">
        <v>5</v>
      </c>
      <c r="E148" t="str">
        <f t="shared" si="4"/>
        <v>並</v>
      </c>
      <c r="F148" s="7" t="str">
        <f>IF(A148="","",IF(E148="並","-",HLOOKUP(E148,単価表!$B$1:$D$2,2,FALSE)*B148))</f>
        <v>-</v>
      </c>
      <c r="G148" s="7" t="str">
        <f t="shared" si="5"/>
        <v>-</v>
      </c>
    </row>
    <row r="149" spans="1:7">
      <c r="A149">
        <v>148</v>
      </c>
      <c r="B149">
        <v>1.7689999999999999</v>
      </c>
      <c r="C149" t="s">
        <v>5</v>
      </c>
      <c r="D149" t="s">
        <v>5</v>
      </c>
      <c r="E149" t="str">
        <f t="shared" si="4"/>
        <v>並</v>
      </c>
      <c r="F149" s="7" t="str">
        <f>IF(A149="","",IF(E149="並","-",HLOOKUP(E149,単価表!$B$1:$D$2,2,FALSE)*B149))</f>
        <v>-</v>
      </c>
      <c r="G149" s="7" t="str">
        <f t="shared" si="5"/>
        <v>-</v>
      </c>
    </row>
    <row r="150" spans="1:7">
      <c r="A150">
        <v>149</v>
      </c>
      <c r="B150">
        <v>1.3320000000000001</v>
      </c>
      <c r="C150" t="s">
        <v>3</v>
      </c>
      <c r="D150" t="s">
        <v>1</v>
      </c>
      <c r="E150" t="str">
        <f t="shared" si="4"/>
        <v>良</v>
      </c>
      <c r="F150" s="7">
        <f>IF(A150="","",IF(E150="並","-",HLOOKUP(E150,単価表!$B$1:$D$2,2,FALSE)*B150))</f>
        <v>1598.4</v>
      </c>
      <c r="G150" s="7">
        <f t="shared" si="5"/>
        <v>1600</v>
      </c>
    </row>
    <row r="151" spans="1:7">
      <c r="A151">
        <v>150</v>
      </c>
      <c r="B151">
        <v>2.359</v>
      </c>
      <c r="C151" t="s">
        <v>5</v>
      </c>
      <c r="D151" t="s">
        <v>5</v>
      </c>
      <c r="E151" t="str">
        <f t="shared" si="4"/>
        <v>並</v>
      </c>
      <c r="F151" s="7" t="str">
        <f>IF(A151="","",IF(E151="並","-",HLOOKUP(E151,単価表!$B$1:$D$2,2,FALSE)*B151))</f>
        <v>-</v>
      </c>
      <c r="G151" s="7" t="str">
        <f t="shared" si="5"/>
        <v>-</v>
      </c>
    </row>
    <row r="152" spans="1:7">
      <c r="A152">
        <v>151</v>
      </c>
      <c r="B152">
        <v>2.4049999999999998</v>
      </c>
      <c r="C152" t="s">
        <v>5</v>
      </c>
      <c r="D152" t="s">
        <v>1</v>
      </c>
      <c r="E152" t="str">
        <f t="shared" si="4"/>
        <v>並</v>
      </c>
      <c r="F152" s="7" t="str">
        <f>IF(A152="","",IF(E152="並","-",HLOOKUP(E152,単価表!$B$1:$D$2,2,FALSE)*B152))</f>
        <v>-</v>
      </c>
      <c r="G152" s="7" t="str">
        <f t="shared" si="5"/>
        <v>-</v>
      </c>
    </row>
    <row r="153" spans="1:7">
      <c r="A153">
        <v>152</v>
      </c>
      <c r="B153">
        <v>1.401</v>
      </c>
      <c r="C153" t="s">
        <v>3</v>
      </c>
      <c r="D153" t="s">
        <v>3</v>
      </c>
      <c r="E153" t="str">
        <f t="shared" si="4"/>
        <v>良</v>
      </c>
      <c r="F153" s="7">
        <f>IF(A153="","",IF(E153="並","-",HLOOKUP(E153,単価表!$B$1:$D$2,2,FALSE)*B153))</f>
        <v>1681.2</v>
      </c>
      <c r="G153" s="7">
        <f t="shared" si="5"/>
        <v>1700</v>
      </c>
    </row>
    <row r="154" spans="1:7">
      <c r="A154">
        <v>153</v>
      </c>
      <c r="B154">
        <v>2.3410000000000002</v>
      </c>
      <c r="C154" t="s">
        <v>3</v>
      </c>
      <c r="D154" t="s">
        <v>1</v>
      </c>
      <c r="E154" t="str">
        <f t="shared" si="4"/>
        <v>良</v>
      </c>
      <c r="F154" s="7">
        <f>IF(A154="","",IF(E154="並","-",HLOOKUP(E154,単価表!$B$1:$D$2,2,FALSE)*B154))</f>
        <v>2809.2000000000003</v>
      </c>
      <c r="G154" s="7">
        <f t="shared" si="5"/>
        <v>2850</v>
      </c>
    </row>
    <row r="155" spans="1:7">
      <c r="A155">
        <v>154</v>
      </c>
      <c r="B155">
        <v>0.57099999999999995</v>
      </c>
      <c r="C155" t="s">
        <v>3</v>
      </c>
      <c r="D155" t="s">
        <v>5</v>
      </c>
      <c r="E155" t="str">
        <f t="shared" si="4"/>
        <v>並</v>
      </c>
      <c r="F155" s="7" t="str">
        <f>IF(A155="","",IF(E155="並","-",HLOOKUP(E155,単価表!$B$1:$D$2,2,FALSE)*B155))</f>
        <v>-</v>
      </c>
      <c r="G155" s="7" t="str">
        <f t="shared" si="5"/>
        <v>-</v>
      </c>
    </row>
    <row r="156" spans="1:7">
      <c r="A156">
        <v>155</v>
      </c>
      <c r="B156">
        <v>0.6</v>
      </c>
      <c r="C156" t="s">
        <v>1</v>
      </c>
      <c r="D156" t="s">
        <v>1</v>
      </c>
      <c r="E156" t="str">
        <f t="shared" si="4"/>
        <v>優</v>
      </c>
      <c r="F156" s="7">
        <f>IF(A156="","",IF(E156="並","-",HLOOKUP(E156,単価表!$B$1:$D$2,2,FALSE)*B156))</f>
        <v>900</v>
      </c>
      <c r="G156" s="7">
        <f t="shared" si="5"/>
        <v>900</v>
      </c>
    </row>
    <row r="157" spans="1:7">
      <c r="A157">
        <v>156</v>
      </c>
      <c r="B157">
        <v>1.1279999999999999</v>
      </c>
      <c r="C157" t="s">
        <v>3</v>
      </c>
      <c r="D157" t="s">
        <v>3</v>
      </c>
      <c r="E157" t="str">
        <f t="shared" si="4"/>
        <v>良</v>
      </c>
      <c r="F157" s="7">
        <f>IF(A157="","",IF(E157="並","-",HLOOKUP(E157,単価表!$B$1:$D$2,2,FALSE)*B157))</f>
        <v>1353.6</v>
      </c>
      <c r="G157" s="7">
        <f t="shared" si="5"/>
        <v>1400</v>
      </c>
    </row>
    <row r="158" spans="1:7">
      <c r="A158">
        <v>157</v>
      </c>
      <c r="B158">
        <v>1.1910000000000001</v>
      </c>
      <c r="C158" t="s">
        <v>1</v>
      </c>
      <c r="D158" t="s">
        <v>5</v>
      </c>
      <c r="E158" t="str">
        <f t="shared" si="4"/>
        <v>並</v>
      </c>
      <c r="F158" s="7" t="str">
        <f>IF(A158="","",IF(E158="並","-",HLOOKUP(E158,単価表!$B$1:$D$2,2,FALSE)*B158))</f>
        <v>-</v>
      </c>
      <c r="G158" s="7" t="str">
        <f t="shared" si="5"/>
        <v>-</v>
      </c>
    </row>
    <row r="159" spans="1:7">
      <c r="A159">
        <v>158</v>
      </c>
      <c r="B159">
        <v>0.78</v>
      </c>
      <c r="C159" t="s">
        <v>5</v>
      </c>
      <c r="D159" t="s">
        <v>1</v>
      </c>
      <c r="E159" t="str">
        <f t="shared" si="4"/>
        <v>並</v>
      </c>
      <c r="F159" s="7" t="str">
        <f>IF(A159="","",IF(E159="並","-",HLOOKUP(E159,単価表!$B$1:$D$2,2,FALSE)*B159))</f>
        <v>-</v>
      </c>
      <c r="G159" s="7" t="str">
        <f t="shared" si="5"/>
        <v>-</v>
      </c>
    </row>
    <row r="160" spans="1:7">
      <c r="A160">
        <v>159</v>
      </c>
      <c r="B160">
        <v>1.1930000000000001</v>
      </c>
      <c r="C160" t="s">
        <v>1</v>
      </c>
      <c r="D160" t="s">
        <v>1</v>
      </c>
      <c r="E160" t="str">
        <f t="shared" si="4"/>
        <v>優</v>
      </c>
      <c r="F160" s="7">
        <f>IF(A160="","",IF(E160="並","-",HLOOKUP(E160,単価表!$B$1:$D$2,2,FALSE)*B160))</f>
        <v>1789.5</v>
      </c>
      <c r="G160" s="7">
        <f t="shared" si="5"/>
        <v>1800</v>
      </c>
    </row>
    <row r="161" spans="1:7">
      <c r="A161">
        <v>160</v>
      </c>
      <c r="B161">
        <v>2.004</v>
      </c>
      <c r="C161" t="s">
        <v>1</v>
      </c>
      <c r="D161" t="s">
        <v>3</v>
      </c>
      <c r="E161" t="str">
        <f t="shared" si="4"/>
        <v>良</v>
      </c>
      <c r="F161" s="7">
        <f>IF(A161="","",IF(E161="並","-",HLOOKUP(E161,単価表!$B$1:$D$2,2,FALSE)*B161))</f>
        <v>2404.8000000000002</v>
      </c>
      <c r="G161" s="7">
        <f t="shared" si="5"/>
        <v>2450</v>
      </c>
    </row>
    <row r="162" spans="1:7">
      <c r="A162">
        <v>161</v>
      </c>
      <c r="B162">
        <v>0.92200000000000004</v>
      </c>
      <c r="C162" t="s">
        <v>1</v>
      </c>
      <c r="D162" t="s">
        <v>5</v>
      </c>
      <c r="E162" t="str">
        <f t="shared" si="4"/>
        <v>並</v>
      </c>
      <c r="F162" s="7" t="str">
        <f>IF(A162="","",IF(E162="並","-",HLOOKUP(E162,単価表!$B$1:$D$2,2,FALSE)*B162))</f>
        <v>-</v>
      </c>
      <c r="G162" s="7" t="str">
        <f t="shared" si="5"/>
        <v>-</v>
      </c>
    </row>
    <row r="163" spans="1:7">
      <c r="A163">
        <v>162</v>
      </c>
      <c r="B163">
        <v>0.83599999999999997</v>
      </c>
      <c r="C163" t="s">
        <v>3</v>
      </c>
      <c r="D163" t="s">
        <v>3</v>
      </c>
      <c r="E163" t="str">
        <f t="shared" si="4"/>
        <v>良</v>
      </c>
      <c r="F163" s="7">
        <f>IF(A163="","",IF(E163="並","-",HLOOKUP(E163,単価表!$B$1:$D$2,2,FALSE)*B163))</f>
        <v>1003.1999999999999</v>
      </c>
      <c r="G163" s="7">
        <f t="shared" si="5"/>
        <v>1050</v>
      </c>
    </row>
    <row r="164" spans="1:7">
      <c r="A164">
        <v>163</v>
      </c>
      <c r="B164">
        <v>0.91400000000000003</v>
      </c>
      <c r="C164" t="s">
        <v>1</v>
      </c>
      <c r="D164" t="s">
        <v>1</v>
      </c>
      <c r="E164" t="str">
        <f t="shared" si="4"/>
        <v>優</v>
      </c>
      <c r="F164" s="7">
        <f>IF(A164="","",IF(E164="並","-",HLOOKUP(E164,単価表!$B$1:$D$2,2,FALSE)*B164))</f>
        <v>1371</v>
      </c>
      <c r="G164" s="7">
        <f t="shared" si="5"/>
        <v>1400</v>
      </c>
    </row>
    <row r="165" spans="1:7">
      <c r="A165">
        <v>164</v>
      </c>
      <c r="B165">
        <v>1.8109999999999999</v>
      </c>
      <c r="C165" t="s">
        <v>1</v>
      </c>
      <c r="D165" t="s">
        <v>5</v>
      </c>
      <c r="E165" t="str">
        <f t="shared" si="4"/>
        <v>並</v>
      </c>
      <c r="F165" s="7" t="str">
        <f>IF(A165="","",IF(E165="並","-",HLOOKUP(E165,単価表!$B$1:$D$2,2,FALSE)*B165))</f>
        <v>-</v>
      </c>
      <c r="G165" s="7" t="str">
        <f t="shared" si="5"/>
        <v>-</v>
      </c>
    </row>
    <row r="166" spans="1:7">
      <c r="A166">
        <v>165</v>
      </c>
      <c r="B166">
        <v>2.2789999999999999</v>
      </c>
      <c r="C166" t="s">
        <v>3</v>
      </c>
      <c r="D166" t="s">
        <v>3</v>
      </c>
      <c r="E166" t="str">
        <f t="shared" si="4"/>
        <v>良</v>
      </c>
      <c r="F166" s="7">
        <f>IF(A166="","",IF(E166="並","-",HLOOKUP(E166,単価表!$B$1:$D$2,2,FALSE)*B166))</f>
        <v>2734.7999999999997</v>
      </c>
      <c r="G166" s="7">
        <f t="shared" si="5"/>
        <v>2750</v>
      </c>
    </row>
    <row r="167" spans="1:7">
      <c r="A167">
        <v>166</v>
      </c>
      <c r="B167">
        <v>1.7150000000000001</v>
      </c>
      <c r="C167" t="s">
        <v>3</v>
      </c>
      <c r="D167" t="s">
        <v>3</v>
      </c>
      <c r="E167" t="str">
        <f t="shared" si="4"/>
        <v>良</v>
      </c>
      <c r="F167" s="7">
        <f>IF(A167="","",IF(E167="並","-",HLOOKUP(E167,単価表!$B$1:$D$2,2,FALSE)*B167))</f>
        <v>2058</v>
      </c>
      <c r="G167" s="7">
        <f t="shared" si="5"/>
        <v>2100</v>
      </c>
    </row>
    <row r="168" spans="1:7">
      <c r="A168">
        <v>167</v>
      </c>
      <c r="B168">
        <v>0.69</v>
      </c>
      <c r="C168" t="s">
        <v>1</v>
      </c>
      <c r="D168" t="s">
        <v>1</v>
      </c>
      <c r="E168" t="str">
        <f t="shared" si="4"/>
        <v>優</v>
      </c>
      <c r="F168" s="7">
        <f>IF(A168="","",IF(E168="並","-",HLOOKUP(E168,単価表!$B$1:$D$2,2,FALSE)*B168))</f>
        <v>1035</v>
      </c>
      <c r="G168" s="7">
        <f t="shared" si="5"/>
        <v>1050</v>
      </c>
    </row>
    <row r="169" spans="1:7">
      <c r="A169">
        <v>168</v>
      </c>
      <c r="B169">
        <v>0.85299999999999998</v>
      </c>
      <c r="C169" t="s">
        <v>5</v>
      </c>
      <c r="D169" t="s">
        <v>1</v>
      </c>
      <c r="E169" t="str">
        <f t="shared" si="4"/>
        <v>並</v>
      </c>
      <c r="F169" s="7" t="str">
        <f>IF(A169="","",IF(E169="並","-",HLOOKUP(E169,単価表!$B$1:$D$2,2,FALSE)*B169))</f>
        <v>-</v>
      </c>
      <c r="G169" s="7" t="str">
        <f t="shared" si="5"/>
        <v>-</v>
      </c>
    </row>
    <row r="170" spans="1:7">
      <c r="A170">
        <v>169</v>
      </c>
      <c r="B170">
        <v>1.5549999999999999</v>
      </c>
      <c r="C170" t="s">
        <v>3</v>
      </c>
      <c r="D170" t="s">
        <v>1</v>
      </c>
      <c r="E170" t="str">
        <f t="shared" si="4"/>
        <v>良</v>
      </c>
      <c r="F170" s="7">
        <f>IF(A170="","",IF(E170="並","-",HLOOKUP(E170,単価表!$B$1:$D$2,2,FALSE)*B170))</f>
        <v>1866</v>
      </c>
      <c r="G170" s="7">
        <f t="shared" si="5"/>
        <v>1900</v>
      </c>
    </row>
    <row r="171" spans="1:7">
      <c r="A171">
        <v>170</v>
      </c>
      <c r="B171">
        <v>2.9729999999999999</v>
      </c>
      <c r="C171" t="s">
        <v>5</v>
      </c>
      <c r="D171" t="s">
        <v>3</v>
      </c>
      <c r="E171" t="str">
        <f t="shared" si="4"/>
        <v>並</v>
      </c>
      <c r="F171" s="7" t="str">
        <f>IF(A171="","",IF(E171="並","-",HLOOKUP(E171,単価表!$B$1:$D$2,2,FALSE)*B171))</f>
        <v>-</v>
      </c>
      <c r="G171" s="7" t="str">
        <f t="shared" si="5"/>
        <v>-</v>
      </c>
    </row>
    <row r="172" spans="1:7">
      <c r="A172">
        <v>171</v>
      </c>
      <c r="B172">
        <v>2.0259999999999998</v>
      </c>
      <c r="C172" t="s">
        <v>1</v>
      </c>
      <c r="D172" t="s">
        <v>5</v>
      </c>
      <c r="E172" t="str">
        <f t="shared" si="4"/>
        <v>並</v>
      </c>
      <c r="F172" s="7" t="str">
        <f>IF(A172="","",IF(E172="並","-",HLOOKUP(E172,単価表!$B$1:$D$2,2,FALSE)*B172))</f>
        <v>-</v>
      </c>
      <c r="G172" s="7" t="str">
        <f t="shared" si="5"/>
        <v>-</v>
      </c>
    </row>
    <row r="173" spans="1:7">
      <c r="A173">
        <v>172</v>
      </c>
      <c r="B173">
        <v>2.6669999999999998</v>
      </c>
      <c r="C173" t="s">
        <v>1</v>
      </c>
      <c r="D173" t="s">
        <v>1</v>
      </c>
      <c r="E173" t="str">
        <f t="shared" si="4"/>
        <v>優</v>
      </c>
      <c r="F173" s="7">
        <f>IF(A173="","",IF(E173="並","-",HLOOKUP(E173,単価表!$B$1:$D$2,2,FALSE)*B173))</f>
        <v>4000.4999999999995</v>
      </c>
      <c r="G173" s="7">
        <f t="shared" si="5"/>
        <v>4050</v>
      </c>
    </row>
    <row r="174" spans="1:7">
      <c r="A174">
        <v>173</v>
      </c>
      <c r="B174">
        <v>1.5609999999999999</v>
      </c>
      <c r="C174" t="s">
        <v>5</v>
      </c>
      <c r="D174" t="s">
        <v>3</v>
      </c>
      <c r="E174" t="str">
        <f t="shared" si="4"/>
        <v>並</v>
      </c>
      <c r="F174" s="7" t="str">
        <f>IF(A174="","",IF(E174="並","-",HLOOKUP(E174,単価表!$B$1:$D$2,2,FALSE)*B174))</f>
        <v>-</v>
      </c>
      <c r="G174" s="7" t="str">
        <f t="shared" si="5"/>
        <v>-</v>
      </c>
    </row>
    <row r="175" spans="1:7">
      <c r="A175">
        <v>174</v>
      </c>
      <c r="B175">
        <v>2.3069999999999999</v>
      </c>
      <c r="C175" t="s">
        <v>1</v>
      </c>
      <c r="D175" t="s">
        <v>1</v>
      </c>
      <c r="E175" t="str">
        <f t="shared" si="4"/>
        <v>優</v>
      </c>
      <c r="F175" s="7">
        <f>IF(A175="","",IF(E175="並","-",HLOOKUP(E175,単価表!$B$1:$D$2,2,FALSE)*B175))</f>
        <v>3460.5</v>
      </c>
      <c r="G175" s="7">
        <f t="shared" si="5"/>
        <v>3500</v>
      </c>
    </row>
    <row r="176" spans="1:7">
      <c r="A176">
        <v>175</v>
      </c>
      <c r="B176">
        <v>1.835</v>
      </c>
      <c r="C176" t="s">
        <v>3</v>
      </c>
      <c r="D176" t="s">
        <v>5</v>
      </c>
      <c r="E176" t="str">
        <f t="shared" si="4"/>
        <v>並</v>
      </c>
      <c r="F176" s="7" t="str">
        <f>IF(A176="","",IF(E176="並","-",HLOOKUP(E176,単価表!$B$1:$D$2,2,FALSE)*B176))</f>
        <v>-</v>
      </c>
      <c r="G176" s="7" t="str">
        <f t="shared" si="5"/>
        <v>-</v>
      </c>
    </row>
    <row r="177" spans="1:7">
      <c r="A177">
        <v>176</v>
      </c>
      <c r="B177">
        <v>0.751</v>
      </c>
      <c r="C177" t="s">
        <v>1</v>
      </c>
      <c r="D177" t="s">
        <v>3</v>
      </c>
      <c r="E177" t="str">
        <f t="shared" si="4"/>
        <v>良</v>
      </c>
      <c r="F177" s="7">
        <f>IF(A177="","",IF(E177="並","-",HLOOKUP(E177,単価表!$B$1:$D$2,2,FALSE)*B177))</f>
        <v>901.2</v>
      </c>
      <c r="G177" s="7">
        <f t="shared" si="5"/>
        <v>950</v>
      </c>
    </row>
    <row r="178" spans="1:7">
      <c r="A178">
        <v>177</v>
      </c>
      <c r="B178">
        <v>1.377</v>
      </c>
      <c r="C178" t="s">
        <v>1</v>
      </c>
      <c r="D178" t="s">
        <v>3</v>
      </c>
      <c r="E178" t="str">
        <f t="shared" si="4"/>
        <v>良</v>
      </c>
      <c r="F178" s="7">
        <f>IF(A178="","",IF(E178="並","-",HLOOKUP(E178,単価表!$B$1:$D$2,2,FALSE)*B178))</f>
        <v>1652.4</v>
      </c>
      <c r="G178" s="7">
        <f t="shared" si="5"/>
        <v>1700</v>
      </c>
    </row>
    <row r="179" spans="1:7">
      <c r="A179">
        <v>178</v>
      </c>
      <c r="B179">
        <v>1.25</v>
      </c>
      <c r="C179" t="s">
        <v>5</v>
      </c>
      <c r="D179" t="s">
        <v>5</v>
      </c>
      <c r="E179" t="str">
        <f t="shared" si="4"/>
        <v>並</v>
      </c>
      <c r="F179" s="7" t="str">
        <f>IF(A179="","",IF(E179="並","-",HLOOKUP(E179,単価表!$B$1:$D$2,2,FALSE)*B179))</f>
        <v>-</v>
      </c>
      <c r="G179" s="7" t="str">
        <f t="shared" si="5"/>
        <v>-</v>
      </c>
    </row>
    <row r="180" spans="1:7">
      <c r="A180">
        <v>179</v>
      </c>
      <c r="B180">
        <v>1.0509999999999999</v>
      </c>
      <c r="C180" t="s">
        <v>1</v>
      </c>
      <c r="D180" t="s">
        <v>3</v>
      </c>
      <c r="E180" t="str">
        <f t="shared" si="4"/>
        <v>良</v>
      </c>
      <c r="F180" s="7">
        <f>IF(A180="","",IF(E180="並","-",HLOOKUP(E180,単価表!$B$1:$D$2,2,FALSE)*B180))</f>
        <v>1261.1999999999998</v>
      </c>
      <c r="G180" s="7">
        <f t="shared" si="5"/>
        <v>1300</v>
      </c>
    </row>
    <row r="181" spans="1:7">
      <c r="A181">
        <v>180</v>
      </c>
      <c r="B181">
        <v>2.573</v>
      </c>
      <c r="C181" t="s">
        <v>3</v>
      </c>
      <c r="D181" t="s">
        <v>1</v>
      </c>
      <c r="E181" t="str">
        <f t="shared" si="4"/>
        <v>良</v>
      </c>
      <c r="F181" s="7">
        <f>IF(A181="","",IF(E181="並","-",HLOOKUP(E181,単価表!$B$1:$D$2,2,FALSE)*B181))</f>
        <v>3087.6</v>
      </c>
      <c r="G181" s="7">
        <f t="shared" si="5"/>
        <v>3100</v>
      </c>
    </row>
    <row r="182" spans="1:7">
      <c r="A182">
        <v>181</v>
      </c>
      <c r="B182">
        <v>2.3929999999999998</v>
      </c>
      <c r="C182" t="s">
        <v>5</v>
      </c>
      <c r="D182" t="s">
        <v>5</v>
      </c>
      <c r="E182" t="str">
        <f t="shared" si="4"/>
        <v>並</v>
      </c>
      <c r="F182" s="7" t="str">
        <f>IF(A182="","",IF(E182="並","-",HLOOKUP(E182,単価表!$B$1:$D$2,2,FALSE)*B182))</f>
        <v>-</v>
      </c>
      <c r="G182" s="7" t="str">
        <f t="shared" si="5"/>
        <v>-</v>
      </c>
    </row>
    <row r="183" spans="1:7">
      <c r="A183">
        <v>182</v>
      </c>
      <c r="B183">
        <v>2.3199999999999998</v>
      </c>
      <c r="C183" t="s">
        <v>1</v>
      </c>
      <c r="D183" t="s">
        <v>3</v>
      </c>
      <c r="E183" t="str">
        <f t="shared" si="4"/>
        <v>良</v>
      </c>
      <c r="F183" s="7">
        <f>IF(A183="","",IF(E183="並","-",HLOOKUP(E183,単価表!$B$1:$D$2,2,FALSE)*B183))</f>
        <v>2784</v>
      </c>
      <c r="G183" s="7">
        <f t="shared" si="5"/>
        <v>2800</v>
      </c>
    </row>
    <row r="184" spans="1:7">
      <c r="A184">
        <v>183</v>
      </c>
      <c r="B184">
        <v>0.95899999999999996</v>
      </c>
      <c r="C184" t="s">
        <v>5</v>
      </c>
      <c r="D184" t="s">
        <v>3</v>
      </c>
      <c r="E184" t="str">
        <f t="shared" si="4"/>
        <v>並</v>
      </c>
      <c r="F184" s="7" t="str">
        <f>IF(A184="","",IF(E184="並","-",HLOOKUP(E184,単価表!$B$1:$D$2,2,FALSE)*B184))</f>
        <v>-</v>
      </c>
      <c r="G184" s="7" t="str">
        <f t="shared" si="5"/>
        <v>-</v>
      </c>
    </row>
    <row r="185" spans="1:7">
      <c r="A185">
        <v>184</v>
      </c>
      <c r="B185">
        <v>0.64700000000000002</v>
      </c>
      <c r="C185" t="s">
        <v>5</v>
      </c>
      <c r="D185" t="s">
        <v>5</v>
      </c>
      <c r="E185" t="str">
        <f t="shared" si="4"/>
        <v>並</v>
      </c>
      <c r="F185" s="7" t="str">
        <f>IF(A185="","",IF(E185="並","-",HLOOKUP(E185,単価表!$B$1:$D$2,2,FALSE)*B185))</f>
        <v>-</v>
      </c>
      <c r="G185" s="7" t="str">
        <f t="shared" si="5"/>
        <v>-</v>
      </c>
    </row>
    <row r="186" spans="1:7">
      <c r="A186">
        <v>185</v>
      </c>
      <c r="B186">
        <v>2.6030000000000002</v>
      </c>
      <c r="C186" t="s">
        <v>5</v>
      </c>
      <c r="D186" t="s">
        <v>1</v>
      </c>
      <c r="E186" t="str">
        <f t="shared" si="4"/>
        <v>並</v>
      </c>
      <c r="F186" s="7" t="str">
        <f>IF(A186="","",IF(E186="並","-",HLOOKUP(E186,単価表!$B$1:$D$2,2,FALSE)*B186))</f>
        <v>-</v>
      </c>
      <c r="G186" s="7" t="str">
        <f t="shared" si="5"/>
        <v>-</v>
      </c>
    </row>
    <row r="187" spans="1:7">
      <c r="A187">
        <v>186</v>
      </c>
      <c r="B187">
        <v>2.63</v>
      </c>
      <c r="C187" t="s">
        <v>1</v>
      </c>
      <c r="D187" t="s">
        <v>1</v>
      </c>
      <c r="E187" t="str">
        <f t="shared" si="4"/>
        <v>優</v>
      </c>
      <c r="F187" s="7">
        <f>IF(A187="","",IF(E187="並","-",HLOOKUP(E187,単価表!$B$1:$D$2,2,FALSE)*B187))</f>
        <v>3945</v>
      </c>
      <c r="G187" s="7">
        <f t="shared" si="5"/>
        <v>3950</v>
      </c>
    </row>
    <row r="188" spans="1:7">
      <c r="A188">
        <v>187</v>
      </c>
      <c r="B188">
        <v>1.821</v>
      </c>
      <c r="C188" t="s">
        <v>3</v>
      </c>
      <c r="D188" t="s">
        <v>3</v>
      </c>
      <c r="E188" t="str">
        <f t="shared" si="4"/>
        <v>良</v>
      </c>
      <c r="F188" s="7">
        <f>IF(A188="","",IF(E188="並","-",HLOOKUP(E188,単価表!$B$1:$D$2,2,FALSE)*B188))</f>
        <v>2185.1999999999998</v>
      </c>
      <c r="G188" s="7">
        <f t="shared" si="5"/>
        <v>2200</v>
      </c>
    </row>
    <row r="189" spans="1:7">
      <c r="A189">
        <v>188</v>
      </c>
      <c r="B189">
        <v>0.61599999999999999</v>
      </c>
      <c r="C189" t="s">
        <v>3</v>
      </c>
      <c r="D189" t="s">
        <v>3</v>
      </c>
      <c r="E189" t="str">
        <f t="shared" si="4"/>
        <v>良</v>
      </c>
      <c r="F189" s="7">
        <f>IF(A189="","",IF(E189="並","-",HLOOKUP(E189,単価表!$B$1:$D$2,2,FALSE)*B189))</f>
        <v>739.2</v>
      </c>
      <c r="G189" s="7">
        <f t="shared" si="5"/>
        <v>750</v>
      </c>
    </row>
    <row r="190" spans="1:7">
      <c r="A190">
        <v>189</v>
      </c>
      <c r="B190">
        <v>2.931</v>
      </c>
      <c r="C190" t="s">
        <v>1</v>
      </c>
      <c r="D190" t="s">
        <v>3</v>
      </c>
      <c r="E190" t="str">
        <f t="shared" si="4"/>
        <v>良</v>
      </c>
      <c r="F190" s="7">
        <f>IF(A190="","",IF(E190="並","-",HLOOKUP(E190,単価表!$B$1:$D$2,2,FALSE)*B190))</f>
        <v>3517.2000000000003</v>
      </c>
      <c r="G190" s="7">
        <f t="shared" si="5"/>
        <v>3550</v>
      </c>
    </row>
    <row r="191" spans="1:7">
      <c r="A191">
        <v>190</v>
      </c>
      <c r="B191">
        <v>2.2400000000000002</v>
      </c>
      <c r="C191" t="s">
        <v>3</v>
      </c>
      <c r="D191" t="s">
        <v>3</v>
      </c>
      <c r="E191" t="str">
        <f t="shared" si="4"/>
        <v>良</v>
      </c>
      <c r="F191" s="7">
        <f>IF(A191="","",IF(E191="並","-",HLOOKUP(E191,単価表!$B$1:$D$2,2,FALSE)*B191))</f>
        <v>2688.0000000000005</v>
      </c>
      <c r="G191" s="7">
        <f t="shared" si="5"/>
        <v>2700</v>
      </c>
    </row>
    <row r="192" spans="1:7">
      <c r="A192">
        <v>191</v>
      </c>
      <c r="B192">
        <v>0.70799999999999996</v>
      </c>
      <c r="C192" t="s">
        <v>1</v>
      </c>
      <c r="D192" t="s">
        <v>5</v>
      </c>
      <c r="E192" t="str">
        <f t="shared" si="4"/>
        <v>並</v>
      </c>
      <c r="F192" s="7" t="str">
        <f>IF(A192="","",IF(E192="並","-",HLOOKUP(E192,単価表!$B$1:$D$2,2,FALSE)*B192))</f>
        <v>-</v>
      </c>
      <c r="G192" s="7" t="str">
        <f t="shared" si="5"/>
        <v>-</v>
      </c>
    </row>
    <row r="193" spans="1:7">
      <c r="A193">
        <v>192</v>
      </c>
      <c r="B193">
        <v>2.7280000000000002</v>
      </c>
      <c r="C193" t="s">
        <v>3</v>
      </c>
      <c r="D193" t="s">
        <v>5</v>
      </c>
      <c r="E193" t="str">
        <f t="shared" si="4"/>
        <v>並</v>
      </c>
      <c r="F193" s="7" t="str">
        <f>IF(A193="","",IF(E193="並","-",HLOOKUP(E193,単価表!$B$1:$D$2,2,FALSE)*B193))</f>
        <v>-</v>
      </c>
      <c r="G193" s="7" t="str">
        <f t="shared" si="5"/>
        <v>-</v>
      </c>
    </row>
    <row r="194" spans="1:7">
      <c r="A194">
        <v>193</v>
      </c>
      <c r="B194">
        <v>1.8859999999999999</v>
      </c>
      <c r="C194" t="s">
        <v>3</v>
      </c>
      <c r="D194" t="s">
        <v>1</v>
      </c>
      <c r="E194" t="str">
        <f t="shared" si="4"/>
        <v>良</v>
      </c>
      <c r="F194" s="7">
        <f>IF(A194="","",IF(E194="並","-",HLOOKUP(E194,単価表!$B$1:$D$2,2,FALSE)*B194))</f>
        <v>2263.1999999999998</v>
      </c>
      <c r="G194" s="7">
        <f t="shared" si="5"/>
        <v>2300</v>
      </c>
    </row>
    <row r="195" spans="1:7">
      <c r="A195">
        <v>194</v>
      </c>
      <c r="B195">
        <v>0.88400000000000001</v>
      </c>
      <c r="C195" t="s">
        <v>5</v>
      </c>
      <c r="D195" t="s">
        <v>1</v>
      </c>
      <c r="E195" t="str">
        <f t="shared" ref="E195:E258" si="6">IF(A195="","",IF(OR(C195="並",D195="並"),"並",IF(OR(C195="良",D195="良"),"良","優")))</f>
        <v>並</v>
      </c>
      <c r="F195" s="7" t="str">
        <f>IF(A195="","",IF(E195="並","-",HLOOKUP(E195,単価表!$B$1:$D$2,2,FALSE)*B195))</f>
        <v>-</v>
      </c>
      <c r="G195" s="7" t="str">
        <f t="shared" si="5"/>
        <v>-</v>
      </c>
    </row>
    <row r="196" spans="1:7">
      <c r="A196">
        <v>195</v>
      </c>
      <c r="B196">
        <v>2.0710000000000002</v>
      </c>
      <c r="C196" t="s">
        <v>5</v>
      </c>
      <c r="D196" t="s">
        <v>1</v>
      </c>
      <c r="E196" t="str">
        <f t="shared" si="6"/>
        <v>並</v>
      </c>
      <c r="F196" s="7" t="str">
        <f>IF(A196="","",IF(E196="並","-",HLOOKUP(E196,単価表!$B$1:$D$2,2,FALSE)*B196))</f>
        <v>-</v>
      </c>
      <c r="G196" s="7" t="str">
        <f t="shared" ref="G196:G259" si="7">IF(A196="","",IF(E196="並","-",ROUNDUP(F196/50,0)*50))</f>
        <v>-</v>
      </c>
    </row>
    <row r="197" spans="1:7">
      <c r="A197">
        <v>196</v>
      </c>
      <c r="B197">
        <v>0.61599999999999999</v>
      </c>
      <c r="C197" t="s">
        <v>3</v>
      </c>
      <c r="D197" t="s">
        <v>5</v>
      </c>
      <c r="E197" t="str">
        <f t="shared" si="6"/>
        <v>並</v>
      </c>
      <c r="F197" s="7" t="str">
        <f>IF(A197="","",IF(E197="並","-",HLOOKUP(E197,単価表!$B$1:$D$2,2,FALSE)*B197))</f>
        <v>-</v>
      </c>
      <c r="G197" s="7" t="str">
        <f t="shared" si="7"/>
        <v>-</v>
      </c>
    </row>
    <row r="198" spans="1:7">
      <c r="A198">
        <v>197</v>
      </c>
      <c r="B198">
        <v>1.714</v>
      </c>
      <c r="C198" t="s">
        <v>5</v>
      </c>
      <c r="D198" t="s">
        <v>5</v>
      </c>
      <c r="E198" t="str">
        <f t="shared" si="6"/>
        <v>並</v>
      </c>
      <c r="F198" s="7" t="str">
        <f>IF(A198="","",IF(E198="並","-",HLOOKUP(E198,単価表!$B$1:$D$2,2,FALSE)*B198))</f>
        <v>-</v>
      </c>
      <c r="G198" s="7" t="str">
        <f t="shared" si="7"/>
        <v>-</v>
      </c>
    </row>
    <row r="199" spans="1:7">
      <c r="A199">
        <v>198</v>
      </c>
      <c r="B199">
        <v>0.98699999999999999</v>
      </c>
      <c r="C199" t="s">
        <v>1</v>
      </c>
      <c r="D199" t="s">
        <v>5</v>
      </c>
      <c r="E199" t="str">
        <f t="shared" si="6"/>
        <v>並</v>
      </c>
      <c r="F199" s="7" t="str">
        <f>IF(A199="","",IF(E199="並","-",HLOOKUP(E199,単価表!$B$1:$D$2,2,FALSE)*B199))</f>
        <v>-</v>
      </c>
      <c r="G199" s="7" t="str">
        <f t="shared" si="7"/>
        <v>-</v>
      </c>
    </row>
    <row r="200" spans="1:7">
      <c r="A200">
        <v>199</v>
      </c>
      <c r="B200">
        <v>0.85699999999999998</v>
      </c>
      <c r="C200" t="s">
        <v>5</v>
      </c>
      <c r="D200" t="s">
        <v>5</v>
      </c>
      <c r="E200" t="str">
        <f t="shared" si="6"/>
        <v>並</v>
      </c>
      <c r="F200" s="7" t="str">
        <f>IF(A200="","",IF(E200="並","-",HLOOKUP(E200,単価表!$B$1:$D$2,2,FALSE)*B200))</f>
        <v>-</v>
      </c>
      <c r="G200" s="7" t="str">
        <f t="shared" si="7"/>
        <v>-</v>
      </c>
    </row>
    <row r="201" spans="1:7">
      <c r="A201">
        <v>200</v>
      </c>
      <c r="B201">
        <v>1.226</v>
      </c>
      <c r="C201" t="s">
        <v>5</v>
      </c>
      <c r="D201" t="s">
        <v>5</v>
      </c>
      <c r="E201" t="str">
        <f t="shared" si="6"/>
        <v>並</v>
      </c>
      <c r="F201" s="7" t="str">
        <f>IF(A201="","",IF(E201="並","-",HLOOKUP(E201,単価表!$B$1:$D$2,2,FALSE)*B201))</f>
        <v>-</v>
      </c>
      <c r="G201" s="7" t="str">
        <f t="shared" si="7"/>
        <v>-</v>
      </c>
    </row>
    <row r="202" spans="1:7">
      <c r="A202">
        <v>201</v>
      </c>
      <c r="B202">
        <v>2.2210000000000001</v>
      </c>
      <c r="C202" t="s">
        <v>1</v>
      </c>
      <c r="D202" t="s">
        <v>1</v>
      </c>
      <c r="E202" t="str">
        <f t="shared" si="6"/>
        <v>優</v>
      </c>
      <c r="F202" s="7">
        <f>IF(A202="","",IF(E202="並","-",HLOOKUP(E202,単価表!$B$1:$D$2,2,FALSE)*B202))</f>
        <v>3331.5</v>
      </c>
      <c r="G202" s="7">
        <f t="shared" si="7"/>
        <v>3350</v>
      </c>
    </row>
    <row r="203" spans="1:7">
      <c r="A203">
        <v>202</v>
      </c>
      <c r="B203">
        <v>0.69199999999999995</v>
      </c>
      <c r="C203" t="s">
        <v>5</v>
      </c>
      <c r="D203" t="s">
        <v>5</v>
      </c>
      <c r="E203" t="str">
        <f t="shared" si="6"/>
        <v>並</v>
      </c>
      <c r="F203" s="7" t="str">
        <f>IF(A203="","",IF(E203="並","-",HLOOKUP(E203,単価表!$B$1:$D$2,2,FALSE)*B203))</f>
        <v>-</v>
      </c>
      <c r="G203" s="7" t="str">
        <f t="shared" si="7"/>
        <v>-</v>
      </c>
    </row>
    <row r="204" spans="1:7">
      <c r="A204">
        <v>203</v>
      </c>
      <c r="B204">
        <v>1.2250000000000001</v>
      </c>
      <c r="C204" t="s">
        <v>5</v>
      </c>
      <c r="D204" t="s">
        <v>5</v>
      </c>
      <c r="E204" t="str">
        <f t="shared" si="6"/>
        <v>並</v>
      </c>
      <c r="F204" s="7" t="str">
        <f>IF(A204="","",IF(E204="並","-",HLOOKUP(E204,単価表!$B$1:$D$2,2,FALSE)*B204))</f>
        <v>-</v>
      </c>
      <c r="G204" s="7" t="str">
        <f t="shared" si="7"/>
        <v>-</v>
      </c>
    </row>
    <row r="205" spans="1:7">
      <c r="A205">
        <v>204</v>
      </c>
      <c r="B205">
        <v>1.036</v>
      </c>
      <c r="C205" t="s">
        <v>5</v>
      </c>
      <c r="D205" t="s">
        <v>5</v>
      </c>
      <c r="E205" t="str">
        <f t="shared" si="6"/>
        <v>並</v>
      </c>
      <c r="F205" s="7" t="str">
        <f>IF(A205="","",IF(E205="並","-",HLOOKUP(E205,単価表!$B$1:$D$2,2,FALSE)*B205))</f>
        <v>-</v>
      </c>
      <c r="G205" s="7" t="str">
        <f t="shared" si="7"/>
        <v>-</v>
      </c>
    </row>
    <row r="206" spans="1:7">
      <c r="A206">
        <v>205</v>
      </c>
      <c r="B206">
        <v>1.901</v>
      </c>
      <c r="C206" t="s">
        <v>5</v>
      </c>
      <c r="D206" t="s">
        <v>1</v>
      </c>
      <c r="E206" t="str">
        <f t="shared" si="6"/>
        <v>並</v>
      </c>
      <c r="F206" s="7" t="str">
        <f>IF(A206="","",IF(E206="並","-",HLOOKUP(E206,単価表!$B$1:$D$2,2,FALSE)*B206))</f>
        <v>-</v>
      </c>
      <c r="G206" s="7" t="str">
        <f t="shared" si="7"/>
        <v>-</v>
      </c>
    </row>
    <row r="207" spans="1:7">
      <c r="A207">
        <v>206</v>
      </c>
      <c r="B207">
        <v>2.8490000000000002</v>
      </c>
      <c r="C207" t="s">
        <v>3</v>
      </c>
      <c r="D207" t="s">
        <v>1</v>
      </c>
      <c r="E207" t="str">
        <f t="shared" si="6"/>
        <v>良</v>
      </c>
      <c r="F207" s="7">
        <f>IF(A207="","",IF(E207="並","-",HLOOKUP(E207,単価表!$B$1:$D$2,2,FALSE)*B207))</f>
        <v>3418.8</v>
      </c>
      <c r="G207" s="7">
        <f t="shared" si="7"/>
        <v>3450</v>
      </c>
    </row>
    <row r="208" spans="1:7">
      <c r="A208">
        <v>207</v>
      </c>
      <c r="B208">
        <v>2.044</v>
      </c>
      <c r="C208" t="s">
        <v>5</v>
      </c>
      <c r="D208" t="s">
        <v>5</v>
      </c>
      <c r="E208" t="str">
        <f t="shared" si="6"/>
        <v>並</v>
      </c>
      <c r="F208" s="7" t="str">
        <f>IF(A208="","",IF(E208="並","-",HLOOKUP(E208,単価表!$B$1:$D$2,2,FALSE)*B208))</f>
        <v>-</v>
      </c>
      <c r="G208" s="7" t="str">
        <f t="shared" si="7"/>
        <v>-</v>
      </c>
    </row>
    <row r="209" spans="1:7">
      <c r="A209">
        <v>208</v>
      </c>
      <c r="B209">
        <v>2.008</v>
      </c>
      <c r="C209" t="s">
        <v>3</v>
      </c>
      <c r="D209" t="s">
        <v>5</v>
      </c>
      <c r="E209" t="str">
        <f t="shared" si="6"/>
        <v>並</v>
      </c>
      <c r="F209" s="7" t="str">
        <f>IF(A209="","",IF(E209="並","-",HLOOKUP(E209,単価表!$B$1:$D$2,2,FALSE)*B209))</f>
        <v>-</v>
      </c>
      <c r="G209" s="7" t="str">
        <f t="shared" si="7"/>
        <v>-</v>
      </c>
    </row>
    <row r="210" spans="1:7">
      <c r="A210">
        <v>209</v>
      </c>
      <c r="B210">
        <v>1.5229999999999999</v>
      </c>
      <c r="C210" t="s">
        <v>3</v>
      </c>
      <c r="D210" t="s">
        <v>3</v>
      </c>
      <c r="E210" t="str">
        <f t="shared" si="6"/>
        <v>良</v>
      </c>
      <c r="F210" s="7">
        <f>IF(A210="","",IF(E210="並","-",HLOOKUP(E210,単価表!$B$1:$D$2,2,FALSE)*B210))</f>
        <v>1827.6</v>
      </c>
      <c r="G210" s="7">
        <f t="shared" si="7"/>
        <v>1850</v>
      </c>
    </row>
    <row r="211" spans="1:7">
      <c r="A211">
        <v>210</v>
      </c>
      <c r="B211">
        <v>1.1279999999999999</v>
      </c>
      <c r="C211" t="s">
        <v>1</v>
      </c>
      <c r="D211" t="s">
        <v>1</v>
      </c>
      <c r="E211" t="str">
        <f t="shared" si="6"/>
        <v>優</v>
      </c>
      <c r="F211" s="7">
        <f>IF(A211="","",IF(E211="並","-",HLOOKUP(E211,単価表!$B$1:$D$2,2,FALSE)*B211))</f>
        <v>1691.9999999999998</v>
      </c>
      <c r="G211" s="7">
        <f t="shared" si="7"/>
        <v>1700</v>
      </c>
    </row>
    <row r="212" spans="1:7">
      <c r="A212">
        <v>211</v>
      </c>
      <c r="B212">
        <v>0.61199999999999999</v>
      </c>
      <c r="C212" t="s">
        <v>3</v>
      </c>
      <c r="D212" t="s">
        <v>5</v>
      </c>
      <c r="E212" t="str">
        <f t="shared" si="6"/>
        <v>並</v>
      </c>
      <c r="F212" s="7" t="str">
        <f>IF(A212="","",IF(E212="並","-",HLOOKUP(E212,単価表!$B$1:$D$2,2,FALSE)*B212))</f>
        <v>-</v>
      </c>
      <c r="G212" s="7" t="str">
        <f t="shared" si="7"/>
        <v>-</v>
      </c>
    </row>
    <row r="213" spans="1:7">
      <c r="A213">
        <v>212</v>
      </c>
      <c r="B213">
        <v>2.129</v>
      </c>
      <c r="C213" t="s">
        <v>3</v>
      </c>
      <c r="D213" t="s">
        <v>5</v>
      </c>
      <c r="E213" t="str">
        <f t="shared" si="6"/>
        <v>並</v>
      </c>
      <c r="F213" s="7" t="str">
        <f>IF(A213="","",IF(E213="並","-",HLOOKUP(E213,単価表!$B$1:$D$2,2,FALSE)*B213))</f>
        <v>-</v>
      </c>
      <c r="G213" s="7" t="str">
        <f t="shared" si="7"/>
        <v>-</v>
      </c>
    </row>
    <row r="214" spans="1:7">
      <c r="A214">
        <v>213</v>
      </c>
      <c r="B214">
        <v>2.548</v>
      </c>
      <c r="C214" t="s">
        <v>5</v>
      </c>
      <c r="D214" t="s">
        <v>5</v>
      </c>
      <c r="E214" t="str">
        <f t="shared" si="6"/>
        <v>並</v>
      </c>
      <c r="F214" s="7" t="str">
        <f>IF(A214="","",IF(E214="並","-",HLOOKUP(E214,単価表!$B$1:$D$2,2,FALSE)*B214))</f>
        <v>-</v>
      </c>
      <c r="G214" s="7" t="str">
        <f t="shared" si="7"/>
        <v>-</v>
      </c>
    </row>
    <row r="215" spans="1:7">
      <c r="A215">
        <v>214</v>
      </c>
      <c r="B215">
        <v>1.621</v>
      </c>
      <c r="C215" t="s">
        <v>1</v>
      </c>
      <c r="D215" t="s">
        <v>3</v>
      </c>
      <c r="E215" t="str">
        <f t="shared" si="6"/>
        <v>良</v>
      </c>
      <c r="F215" s="7">
        <f>IF(A215="","",IF(E215="並","-",HLOOKUP(E215,単価表!$B$1:$D$2,2,FALSE)*B215))</f>
        <v>1945.2</v>
      </c>
      <c r="G215" s="7">
        <f t="shared" si="7"/>
        <v>1950</v>
      </c>
    </row>
    <row r="216" spans="1:7">
      <c r="A216">
        <v>215</v>
      </c>
      <c r="B216">
        <v>1.7629999999999999</v>
      </c>
      <c r="C216" t="s">
        <v>5</v>
      </c>
      <c r="D216" t="s">
        <v>1</v>
      </c>
      <c r="E216" t="str">
        <f t="shared" si="6"/>
        <v>並</v>
      </c>
      <c r="F216" s="7" t="str">
        <f>IF(A216="","",IF(E216="並","-",HLOOKUP(E216,単価表!$B$1:$D$2,2,FALSE)*B216))</f>
        <v>-</v>
      </c>
      <c r="G216" s="7" t="str">
        <f t="shared" si="7"/>
        <v>-</v>
      </c>
    </row>
    <row r="217" spans="1:7">
      <c r="A217">
        <v>216</v>
      </c>
      <c r="B217">
        <v>2.7330000000000001</v>
      </c>
      <c r="C217" t="s">
        <v>3</v>
      </c>
      <c r="D217" t="s">
        <v>3</v>
      </c>
      <c r="E217" t="str">
        <f t="shared" si="6"/>
        <v>良</v>
      </c>
      <c r="F217" s="7">
        <f>IF(A217="","",IF(E217="並","-",HLOOKUP(E217,単価表!$B$1:$D$2,2,FALSE)*B217))</f>
        <v>3279.6</v>
      </c>
      <c r="G217" s="7">
        <f t="shared" si="7"/>
        <v>3300</v>
      </c>
    </row>
    <row r="218" spans="1:7">
      <c r="A218">
        <v>217</v>
      </c>
      <c r="B218">
        <v>2.141</v>
      </c>
      <c r="C218" t="s">
        <v>1</v>
      </c>
      <c r="D218" t="s">
        <v>5</v>
      </c>
      <c r="E218" t="str">
        <f t="shared" si="6"/>
        <v>並</v>
      </c>
      <c r="F218" s="7" t="str">
        <f>IF(A218="","",IF(E218="並","-",HLOOKUP(E218,単価表!$B$1:$D$2,2,FALSE)*B218))</f>
        <v>-</v>
      </c>
      <c r="G218" s="7" t="str">
        <f t="shared" si="7"/>
        <v>-</v>
      </c>
    </row>
    <row r="219" spans="1:7">
      <c r="A219">
        <v>218</v>
      </c>
      <c r="B219">
        <v>0.51100000000000001</v>
      </c>
      <c r="C219" t="s">
        <v>1</v>
      </c>
      <c r="D219" t="s">
        <v>3</v>
      </c>
      <c r="E219" t="str">
        <f t="shared" si="6"/>
        <v>良</v>
      </c>
      <c r="F219" s="7">
        <f>IF(A219="","",IF(E219="並","-",HLOOKUP(E219,単価表!$B$1:$D$2,2,FALSE)*B219))</f>
        <v>613.20000000000005</v>
      </c>
      <c r="G219" s="7">
        <f t="shared" si="7"/>
        <v>650</v>
      </c>
    </row>
    <row r="220" spans="1:7">
      <c r="A220">
        <v>219</v>
      </c>
      <c r="B220">
        <v>2.8130000000000002</v>
      </c>
      <c r="C220" t="s">
        <v>5</v>
      </c>
      <c r="D220" t="s">
        <v>1</v>
      </c>
      <c r="E220" t="str">
        <f t="shared" si="6"/>
        <v>並</v>
      </c>
      <c r="F220" s="7" t="str">
        <f>IF(A220="","",IF(E220="並","-",HLOOKUP(E220,単価表!$B$1:$D$2,2,FALSE)*B220))</f>
        <v>-</v>
      </c>
      <c r="G220" s="7" t="str">
        <f t="shared" si="7"/>
        <v>-</v>
      </c>
    </row>
    <row r="221" spans="1:7">
      <c r="A221">
        <v>220</v>
      </c>
      <c r="B221">
        <v>0.65800000000000003</v>
      </c>
      <c r="C221" t="s">
        <v>3</v>
      </c>
      <c r="D221" t="s">
        <v>5</v>
      </c>
      <c r="E221" t="str">
        <f t="shared" si="6"/>
        <v>並</v>
      </c>
      <c r="F221" s="7" t="str">
        <f>IF(A221="","",IF(E221="並","-",HLOOKUP(E221,単価表!$B$1:$D$2,2,FALSE)*B221))</f>
        <v>-</v>
      </c>
      <c r="G221" s="7" t="str">
        <f t="shared" si="7"/>
        <v>-</v>
      </c>
    </row>
    <row r="222" spans="1:7">
      <c r="A222">
        <v>221</v>
      </c>
      <c r="B222">
        <v>2.1909999999999998</v>
      </c>
      <c r="C222" t="s">
        <v>3</v>
      </c>
      <c r="D222" t="s">
        <v>5</v>
      </c>
      <c r="E222" t="str">
        <f t="shared" si="6"/>
        <v>並</v>
      </c>
      <c r="F222" s="7" t="str">
        <f>IF(A222="","",IF(E222="並","-",HLOOKUP(E222,単価表!$B$1:$D$2,2,FALSE)*B222))</f>
        <v>-</v>
      </c>
      <c r="G222" s="7" t="str">
        <f t="shared" si="7"/>
        <v>-</v>
      </c>
    </row>
    <row r="223" spans="1:7">
      <c r="A223">
        <v>222</v>
      </c>
      <c r="B223">
        <v>1.2569999999999999</v>
      </c>
      <c r="C223" t="s">
        <v>5</v>
      </c>
      <c r="D223" t="s">
        <v>1</v>
      </c>
      <c r="E223" t="str">
        <f t="shared" si="6"/>
        <v>並</v>
      </c>
      <c r="F223" s="7" t="str">
        <f>IF(A223="","",IF(E223="並","-",HLOOKUP(E223,単価表!$B$1:$D$2,2,FALSE)*B223))</f>
        <v>-</v>
      </c>
      <c r="G223" s="7" t="str">
        <f t="shared" si="7"/>
        <v>-</v>
      </c>
    </row>
    <row r="224" spans="1:7">
      <c r="A224">
        <v>223</v>
      </c>
      <c r="B224">
        <v>1.115</v>
      </c>
      <c r="C224" t="s">
        <v>3</v>
      </c>
      <c r="D224" t="s">
        <v>3</v>
      </c>
      <c r="E224" t="str">
        <f t="shared" si="6"/>
        <v>良</v>
      </c>
      <c r="F224" s="7">
        <f>IF(A224="","",IF(E224="並","-",HLOOKUP(E224,単価表!$B$1:$D$2,2,FALSE)*B224))</f>
        <v>1338</v>
      </c>
      <c r="G224" s="7">
        <f t="shared" si="7"/>
        <v>1350</v>
      </c>
    </row>
    <row r="225" spans="1:7">
      <c r="A225">
        <v>224</v>
      </c>
      <c r="B225">
        <v>2.4569999999999999</v>
      </c>
      <c r="C225" t="s">
        <v>1</v>
      </c>
      <c r="D225" t="s">
        <v>1</v>
      </c>
      <c r="E225" t="str">
        <f t="shared" si="6"/>
        <v>優</v>
      </c>
      <c r="F225" s="7">
        <f>IF(A225="","",IF(E225="並","-",HLOOKUP(E225,単価表!$B$1:$D$2,2,FALSE)*B225))</f>
        <v>3685.5</v>
      </c>
      <c r="G225" s="7">
        <f t="shared" si="7"/>
        <v>3700</v>
      </c>
    </row>
    <row r="226" spans="1:7">
      <c r="A226">
        <v>225</v>
      </c>
      <c r="B226">
        <v>1.4339999999999999</v>
      </c>
      <c r="C226" t="s">
        <v>5</v>
      </c>
      <c r="D226" t="s">
        <v>5</v>
      </c>
      <c r="E226" t="str">
        <f t="shared" si="6"/>
        <v>並</v>
      </c>
      <c r="F226" s="7" t="str">
        <f>IF(A226="","",IF(E226="並","-",HLOOKUP(E226,単価表!$B$1:$D$2,2,FALSE)*B226))</f>
        <v>-</v>
      </c>
      <c r="G226" s="7" t="str">
        <f t="shared" si="7"/>
        <v>-</v>
      </c>
    </row>
    <row r="227" spans="1:7">
      <c r="A227">
        <v>226</v>
      </c>
      <c r="B227">
        <v>2.984</v>
      </c>
      <c r="C227" t="s">
        <v>1</v>
      </c>
      <c r="D227" t="s">
        <v>1</v>
      </c>
      <c r="E227" t="str">
        <f t="shared" si="6"/>
        <v>優</v>
      </c>
      <c r="F227" s="7">
        <f>IF(A227="","",IF(E227="並","-",HLOOKUP(E227,単価表!$B$1:$D$2,2,FALSE)*B227))</f>
        <v>4476</v>
      </c>
      <c r="G227" s="7">
        <f t="shared" si="7"/>
        <v>4500</v>
      </c>
    </row>
    <row r="228" spans="1:7">
      <c r="A228">
        <v>227</v>
      </c>
      <c r="B228">
        <v>0.89600000000000002</v>
      </c>
      <c r="C228" t="s">
        <v>1</v>
      </c>
      <c r="D228" t="s">
        <v>5</v>
      </c>
      <c r="E228" t="str">
        <f t="shared" si="6"/>
        <v>並</v>
      </c>
      <c r="F228" s="7" t="str">
        <f>IF(A228="","",IF(E228="並","-",HLOOKUP(E228,単価表!$B$1:$D$2,2,FALSE)*B228))</f>
        <v>-</v>
      </c>
      <c r="G228" s="7" t="str">
        <f t="shared" si="7"/>
        <v>-</v>
      </c>
    </row>
    <row r="229" spans="1:7">
      <c r="A229">
        <v>228</v>
      </c>
      <c r="B229">
        <v>0.82299999999999995</v>
      </c>
      <c r="C229" t="s">
        <v>1</v>
      </c>
      <c r="D229" t="s">
        <v>1</v>
      </c>
      <c r="E229" t="str">
        <f t="shared" si="6"/>
        <v>優</v>
      </c>
      <c r="F229" s="7">
        <f>IF(A229="","",IF(E229="並","-",HLOOKUP(E229,単価表!$B$1:$D$2,2,FALSE)*B229))</f>
        <v>1234.5</v>
      </c>
      <c r="G229" s="7">
        <f t="shared" si="7"/>
        <v>1250</v>
      </c>
    </row>
    <row r="230" spans="1:7">
      <c r="A230">
        <v>229</v>
      </c>
      <c r="B230">
        <v>1.7569999999999999</v>
      </c>
      <c r="C230" t="s">
        <v>3</v>
      </c>
      <c r="D230" t="s">
        <v>3</v>
      </c>
      <c r="E230" t="str">
        <f t="shared" si="6"/>
        <v>良</v>
      </c>
      <c r="F230" s="7">
        <f>IF(A230="","",IF(E230="並","-",HLOOKUP(E230,単価表!$B$1:$D$2,2,FALSE)*B230))</f>
        <v>2108.4</v>
      </c>
      <c r="G230" s="7">
        <f t="shared" si="7"/>
        <v>2150</v>
      </c>
    </row>
    <row r="231" spans="1:7">
      <c r="A231">
        <v>230</v>
      </c>
      <c r="B231">
        <v>2.6070000000000002</v>
      </c>
      <c r="C231" t="s">
        <v>1</v>
      </c>
      <c r="D231" t="s">
        <v>5</v>
      </c>
      <c r="E231" t="str">
        <f t="shared" si="6"/>
        <v>並</v>
      </c>
      <c r="F231" s="7" t="str">
        <f>IF(A231="","",IF(E231="並","-",HLOOKUP(E231,単価表!$B$1:$D$2,2,FALSE)*B231))</f>
        <v>-</v>
      </c>
      <c r="G231" s="7" t="str">
        <f t="shared" si="7"/>
        <v>-</v>
      </c>
    </row>
    <row r="232" spans="1:7">
      <c r="A232">
        <v>231</v>
      </c>
      <c r="B232">
        <v>2.052</v>
      </c>
      <c r="C232" t="s">
        <v>3</v>
      </c>
      <c r="D232" t="s">
        <v>3</v>
      </c>
      <c r="E232" t="str">
        <f t="shared" si="6"/>
        <v>良</v>
      </c>
      <c r="F232" s="7">
        <f>IF(A232="","",IF(E232="並","-",HLOOKUP(E232,単価表!$B$1:$D$2,2,FALSE)*B232))</f>
        <v>2462.4</v>
      </c>
      <c r="G232" s="7">
        <f t="shared" si="7"/>
        <v>2500</v>
      </c>
    </row>
    <row r="233" spans="1:7">
      <c r="A233">
        <v>232</v>
      </c>
      <c r="B233">
        <v>0.78600000000000003</v>
      </c>
      <c r="C233" t="s">
        <v>1</v>
      </c>
      <c r="D233" t="s">
        <v>3</v>
      </c>
      <c r="E233" t="str">
        <f t="shared" si="6"/>
        <v>良</v>
      </c>
      <c r="F233" s="7">
        <f>IF(A233="","",IF(E233="並","-",HLOOKUP(E233,単価表!$B$1:$D$2,2,FALSE)*B233))</f>
        <v>943.2</v>
      </c>
      <c r="G233" s="7">
        <f t="shared" si="7"/>
        <v>950</v>
      </c>
    </row>
    <row r="234" spans="1:7">
      <c r="A234">
        <v>233</v>
      </c>
      <c r="B234">
        <v>1.6259999999999999</v>
      </c>
      <c r="C234" t="s">
        <v>5</v>
      </c>
      <c r="D234" t="s">
        <v>3</v>
      </c>
      <c r="E234" t="str">
        <f t="shared" si="6"/>
        <v>並</v>
      </c>
      <c r="F234" s="7" t="str">
        <f>IF(A234="","",IF(E234="並","-",HLOOKUP(E234,単価表!$B$1:$D$2,2,FALSE)*B234))</f>
        <v>-</v>
      </c>
      <c r="G234" s="7" t="str">
        <f t="shared" si="7"/>
        <v>-</v>
      </c>
    </row>
    <row r="235" spans="1:7">
      <c r="A235">
        <v>234</v>
      </c>
      <c r="B235">
        <v>1.5880000000000001</v>
      </c>
      <c r="C235" t="s">
        <v>3</v>
      </c>
      <c r="D235" t="s">
        <v>3</v>
      </c>
      <c r="E235" t="str">
        <f t="shared" si="6"/>
        <v>良</v>
      </c>
      <c r="F235" s="7">
        <f>IF(A235="","",IF(E235="並","-",HLOOKUP(E235,単価表!$B$1:$D$2,2,FALSE)*B235))</f>
        <v>1905.6000000000001</v>
      </c>
      <c r="G235" s="7">
        <f t="shared" si="7"/>
        <v>1950</v>
      </c>
    </row>
    <row r="236" spans="1:7">
      <c r="A236">
        <v>235</v>
      </c>
      <c r="B236">
        <v>1.8839999999999999</v>
      </c>
      <c r="C236" t="s">
        <v>1</v>
      </c>
      <c r="D236" t="s">
        <v>1</v>
      </c>
      <c r="E236" t="str">
        <f t="shared" si="6"/>
        <v>優</v>
      </c>
      <c r="F236" s="7">
        <f>IF(A236="","",IF(E236="並","-",HLOOKUP(E236,単価表!$B$1:$D$2,2,FALSE)*B236))</f>
        <v>2826</v>
      </c>
      <c r="G236" s="7">
        <f t="shared" si="7"/>
        <v>2850</v>
      </c>
    </row>
    <row r="237" spans="1:7">
      <c r="A237">
        <v>236</v>
      </c>
      <c r="B237">
        <v>0.754</v>
      </c>
      <c r="C237" t="s">
        <v>5</v>
      </c>
      <c r="D237" t="s">
        <v>1</v>
      </c>
      <c r="E237" t="str">
        <f t="shared" si="6"/>
        <v>並</v>
      </c>
      <c r="F237" s="7" t="str">
        <f>IF(A237="","",IF(E237="並","-",HLOOKUP(E237,単価表!$B$1:$D$2,2,FALSE)*B237))</f>
        <v>-</v>
      </c>
      <c r="G237" s="7" t="str">
        <f t="shared" si="7"/>
        <v>-</v>
      </c>
    </row>
    <row r="238" spans="1:7">
      <c r="A238">
        <v>237</v>
      </c>
      <c r="B238">
        <v>2.4910000000000001</v>
      </c>
      <c r="C238" t="s">
        <v>1</v>
      </c>
      <c r="D238" t="s">
        <v>3</v>
      </c>
      <c r="E238" t="str">
        <f t="shared" si="6"/>
        <v>良</v>
      </c>
      <c r="F238" s="7">
        <f>IF(A238="","",IF(E238="並","-",HLOOKUP(E238,単価表!$B$1:$D$2,2,FALSE)*B238))</f>
        <v>2989.2000000000003</v>
      </c>
      <c r="G238" s="7">
        <f t="shared" si="7"/>
        <v>3000</v>
      </c>
    </row>
    <row r="239" spans="1:7">
      <c r="A239">
        <v>238</v>
      </c>
      <c r="B239">
        <v>2.101</v>
      </c>
      <c r="C239" t="s">
        <v>5</v>
      </c>
      <c r="D239" t="s">
        <v>5</v>
      </c>
      <c r="E239" t="str">
        <f t="shared" si="6"/>
        <v>並</v>
      </c>
      <c r="F239" s="7" t="str">
        <f>IF(A239="","",IF(E239="並","-",HLOOKUP(E239,単価表!$B$1:$D$2,2,FALSE)*B239))</f>
        <v>-</v>
      </c>
      <c r="G239" s="7" t="str">
        <f t="shared" si="7"/>
        <v>-</v>
      </c>
    </row>
    <row r="240" spans="1:7">
      <c r="A240">
        <v>239</v>
      </c>
      <c r="B240">
        <v>2.6459999999999999</v>
      </c>
      <c r="C240" t="s">
        <v>5</v>
      </c>
      <c r="D240" t="s">
        <v>1</v>
      </c>
      <c r="E240" t="str">
        <f t="shared" si="6"/>
        <v>並</v>
      </c>
      <c r="F240" s="7" t="str">
        <f>IF(A240="","",IF(E240="並","-",HLOOKUP(E240,単価表!$B$1:$D$2,2,FALSE)*B240))</f>
        <v>-</v>
      </c>
      <c r="G240" s="7" t="str">
        <f t="shared" si="7"/>
        <v>-</v>
      </c>
    </row>
    <row r="241" spans="1:7">
      <c r="A241">
        <v>240</v>
      </c>
      <c r="B241">
        <v>0.61899999999999999</v>
      </c>
      <c r="C241" t="s">
        <v>5</v>
      </c>
      <c r="D241" t="s">
        <v>3</v>
      </c>
      <c r="E241" t="str">
        <f t="shared" si="6"/>
        <v>並</v>
      </c>
      <c r="F241" s="7" t="str">
        <f>IF(A241="","",IF(E241="並","-",HLOOKUP(E241,単価表!$B$1:$D$2,2,FALSE)*B241))</f>
        <v>-</v>
      </c>
      <c r="G241" s="7" t="str">
        <f t="shared" si="7"/>
        <v>-</v>
      </c>
    </row>
    <row r="242" spans="1:7">
      <c r="A242">
        <v>241</v>
      </c>
      <c r="B242">
        <v>0.57199999999999995</v>
      </c>
      <c r="C242" t="s">
        <v>5</v>
      </c>
      <c r="D242" t="s">
        <v>5</v>
      </c>
      <c r="E242" t="str">
        <f t="shared" si="6"/>
        <v>並</v>
      </c>
      <c r="F242" s="7" t="str">
        <f>IF(A242="","",IF(E242="並","-",HLOOKUP(E242,単価表!$B$1:$D$2,2,FALSE)*B242))</f>
        <v>-</v>
      </c>
      <c r="G242" s="7" t="str">
        <f t="shared" si="7"/>
        <v>-</v>
      </c>
    </row>
    <row r="243" spans="1:7">
      <c r="A243">
        <v>242</v>
      </c>
      <c r="B243">
        <v>0.98299999999999998</v>
      </c>
      <c r="C243" t="s">
        <v>3</v>
      </c>
      <c r="D243" t="s">
        <v>1</v>
      </c>
      <c r="E243" t="str">
        <f t="shared" si="6"/>
        <v>良</v>
      </c>
      <c r="F243" s="7">
        <f>IF(A243="","",IF(E243="並","-",HLOOKUP(E243,単価表!$B$1:$D$2,2,FALSE)*B243))</f>
        <v>1179.5999999999999</v>
      </c>
      <c r="G243" s="7">
        <f t="shared" si="7"/>
        <v>1200</v>
      </c>
    </row>
    <row r="244" spans="1:7">
      <c r="A244">
        <v>243</v>
      </c>
      <c r="B244">
        <v>1.5029999999999999</v>
      </c>
      <c r="C244" t="s">
        <v>3</v>
      </c>
      <c r="D244" t="s">
        <v>3</v>
      </c>
      <c r="E244" t="str">
        <f t="shared" si="6"/>
        <v>良</v>
      </c>
      <c r="F244" s="7">
        <f>IF(A244="","",IF(E244="並","-",HLOOKUP(E244,単価表!$B$1:$D$2,2,FALSE)*B244))</f>
        <v>1803.6</v>
      </c>
      <c r="G244" s="7">
        <f t="shared" si="7"/>
        <v>1850</v>
      </c>
    </row>
    <row r="245" spans="1:7">
      <c r="A245">
        <v>244</v>
      </c>
      <c r="B245">
        <v>1.6619999999999999</v>
      </c>
      <c r="C245" t="s">
        <v>5</v>
      </c>
      <c r="D245" t="s">
        <v>3</v>
      </c>
      <c r="E245" t="str">
        <f t="shared" si="6"/>
        <v>並</v>
      </c>
      <c r="F245" s="7" t="str">
        <f>IF(A245="","",IF(E245="並","-",HLOOKUP(E245,単価表!$B$1:$D$2,2,FALSE)*B245))</f>
        <v>-</v>
      </c>
      <c r="G245" s="7" t="str">
        <f t="shared" si="7"/>
        <v>-</v>
      </c>
    </row>
    <row r="246" spans="1:7">
      <c r="A246">
        <v>245</v>
      </c>
      <c r="B246">
        <v>1.1080000000000001</v>
      </c>
      <c r="C246" t="s">
        <v>5</v>
      </c>
      <c r="D246" t="s">
        <v>3</v>
      </c>
      <c r="E246" t="str">
        <f t="shared" si="6"/>
        <v>並</v>
      </c>
      <c r="F246" s="7" t="str">
        <f>IF(A246="","",IF(E246="並","-",HLOOKUP(E246,単価表!$B$1:$D$2,2,FALSE)*B246))</f>
        <v>-</v>
      </c>
      <c r="G246" s="7" t="str">
        <f t="shared" si="7"/>
        <v>-</v>
      </c>
    </row>
    <row r="247" spans="1:7">
      <c r="A247">
        <v>246</v>
      </c>
      <c r="B247">
        <v>1.748</v>
      </c>
      <c r="C247" t="s">
        <v>3</v>
      </c>
      <c r="D247" t="s">
        <v>5</v>
      </c>
      <c r="E247" t="str">
        <f t="shared" si="6"/>
        <v>並</v>
      </c>
      <c r="F247" s="7" t="str">
        <f>IF(A247="","",IF(E247="並","-",HLOOKUP(E247,単価表!$B$1:$D$2,2,FALSE)*B247))</f>
        <v>-</v>
      </c>
      <c r="G247" s="7" t="str">
        <f t="shared" si="7"/>
        <v>-</v>
      </c>
    </row>
    <row r="248" spans="1:7">
      <c r="A248">
        <v>247</v>
      </c>
      <c r="B248">
        <v>0.82399999999999995</v>
      </c>
      <c r="C248" t="s">
        <v>5</v>
      </c>
      <c r="D248" t="s">
        <v>1</v>
      </c>
      <c r="E248" t="str">
        <f t="shared" si="6"/>
        <v>並</v>
      </c>
      <c r="F248" s="7" t="str">
        <f>IF(A248="","",IF(E248="並","-",HLOOKUP(E248,単価表!$B$1:$D$2,2,FALSE)*B248))</f>
        <v>-</v>
      </c>
      <c r="G248" s="7" t="str">
        <f t="shared" si="7"/>
        <v>-</v>
      </c>
    </row>
    <row r="249" spans="1:7">
      <c r="A249">
        <v>248</v>
      </c>
      <c r="B249">
        <v>2.4359999999999999</v>
      </c>
      <c r="C249" t="s">
        <v>3</v>
      </c>
      <c r="D249" t="s">
        <v>1</v>
      </c>
      <c r="E249" t="str">
        <f t="shared" si="6"/>
        <v>良</v>
      </c>
      <c r="F249" s="7">
        <f>IF(A249="","",IF(E249="並","-",HLOOKUP(E249,単価表!$B$1:$D$2,2,FALSE)*B249))</f>
        <v>2923.2</v>
      </c>
      <c r="G249" s="7">
        <f t="shared" si="7"/>
        <v>2950</v>
      </c>
    </row>
    <row r="250" spans="1:7">
      <c r="A250">
        <v>249</v>
      </c>
      <c r="B250">
        <v>2.15</v>
      </c>
      <c r="C250" t="s">
        <v>3</v>
      </c>
      <c r="D250" t="s">
        <v>1</v>
      </c>
      <c r="E250" t="str">
        <f t="shared" si="6"/>
        <v>良</v>
      </c>
      <c r="F250" s="7">
        <f>IF(A250="","",IF(E250="並","-",HLOOKUP(E250,単価表!$B$1:$D$2,2,FALSE)*B250))</f>
        <v>2580</v>
      </c>
      <c r="G250" s="7">
        <f t="shared" si="7"/>
        <v>2600</v>
      </c>
    </row>
    <row r="251" spans="1:7">
      <c r="A251">
        <v>250</v>
      </c>
      <c r="B251">
        <v>2.3969999999999998</v>
      </c>
      <c r="C251" t="s">
        <v>1</v>
      </c>
      <c r="D251" t="s">
        <v>5</v>
      </c>
      <c r="E251" t="str">
        <f t="shared" si="6"/>
        <v>並</v>
      </c>
      <c r="F251" s="7" t="str">
        <f>IF(A251="","",IF(E251="並","-",HLOOKUP(E251,単価表!$B$1:$D$2,2,FALSE)*B251))</f>
        <v>-</v>
      </c>
      <c r="G251" s="7" t="str">
        <f t="shared" si="7"/>
        <v>-</v>
      </c>
    </row>
    <row r="252" spans="1:7">
      <c r="A252">
        <v>251</v>
      </c>
      <c r="B252">
        <v>0.76200000000000001</v>
      </c>
      <c r="C252" t="s">
        <v>5</v>
      </c>
      <c r="D252" t="s">
        <v>1</v>
      </c>
      <c r="E252" t="str">
        <f t="shared" si="6"/>
        <v>並</v>
      </c>
      <c r="F252" s="7" t="str">
        <f>IF(A252="","",IF(E252="並","-",HLOOKUP(E252,単価表!$B$1:$D$2,2,FALSE)*B252))</f>
        <v>-</v>
      </c>
      <c r="G252" s="7" t="str">
        <f t="shared" si="7"/>
        <v>-</v>
      </c>
    </row>
    <row r="253" spans="1:7">
      <c r="A253">
        <v>252</v>
      </c>
      <c r="B253">
        <v>2.3090000000000002</v>
      </c>
      <c r="C253" t="s">
        <v>5</v>
      </c>
      <c r="D253" t="s">
        <v>5</v>
      </c>
      <c r="E253" t="str">
        <f t="shared" si="6"/>
        <v>並</v>
      </c>
      <c r="F253" s="7" t="str">
        <f>IF(A253="","",IF(E253="並","-",HLOOKUP(E253,単価表!$B$1:$D$2,2,FALSE)*B253))</f>
        <v>-</v>
      </c>
      <c r="G253" s="7" t="str">
        <f t="shared" si="7"/>
        <v>-</v>
      </c>
    </row>
    <row r="254" spans="1:7">
      <c r="A254">
        <v>253</v>
      </c>
      <c r="B254">
        <v>0.92</v>
      </c>
      <c r="C254" t="s">
        <v>5</v>
      </c>
      <c r="D254" t="s">
        <v>3</v>
      </c>
      <c r="E254" t="str">
        <f t="shared" si="6"/>
        <v>並</v>
      </c>
      <c r="F254" s="7" t="str">
        <f>IF(A254="","",IF(E254="並","-",HLOOKUP(E254,単価表!$B$1:$D$2,2,FALSE)*B254))</f>
        <v>-</v>
      </c>
      <c r="G254" s="7" t="str">
        <f t="shared" si="7"/>
        <v>-</v>
      </c>
    </row>
    <row r="255" spans="1:7">
      <c r="A255">
        <v>254</v>
      </c>
      <c r="B255">
        <v>1.4590000000000001</v>
      </c>
      <c r="C255" t="s">
        <v>1</v>
      </c>
      <c r="D255" t="s">
        <v>5</v>
      </c>
      <c r="E255" t="str">
        <f t="shared" si="6"/>
        <v>並</v>
      </c>
      <c r="F255" s="7" t="str">
        <f>IF(A255="","",IF(E255="並","-",HLOOKUP(E255,単価表!$B$1:$D$2,2,FALSE)*B255))</f>
        <v>-</v>
      </c>
      <c r="G255" s="7" t="str">
        <f t="shared" si="7"/>
        <v>-</v>
      </c>
    </row>
    <row r="256" spans="1:7">
      <c r="A256">
        <v>255</v>
      </c>
      <c r="B256">
        <v>1.734</v>
      </c>
      <c r="C256" t="s">
        <v>1</v>
      </c>
      <c r="D256" t="s">
        <v>1</v>
      </c>
      <c r="E256" t="str">
        <f t="shared" si="6"/>
        <v>優</v>
      </c>
      <c r="F256" s="7">
        <f>IF(A256="","",IF(E256="並","-",HLOOKUP(E256,単価表!$B$1:$D$2,2,FALSE)*B256))</f>
        <v>2601</v>
      </c>
      <c r="G256" s="7">
        <f t="shared" si="7"/>
        <v>2650</v>
      </c>
    </row>
    <row r="257" spans="1:7">
      <c r="A257">
        <v>256</v>
      </c>
      <c r="B257">
        <v>2.202</v>
      </c>
      <c r="C257" t="s">
        <v>1</v>
      </c>
      <c r="D257" t="s">
        <v>1</v>
      </c>
      <c r="E257" t="str">
        <f t="shared" si="6"/>
        <v>優</v>
      </c>
      <c r="F257" s="7">
        <f>IF(A257="","",IF(E257="並","-",HLOOKUP(E257,単価表!$B$1:$D$2,2,FALSE)*B257))</f>
        <v>3303</v>
      </c>
      <c r="G257" s="7">
        <f t="shared" si="7"/>
        <v>3350</v>
      </c>
    </row>
    <row r="258" spans="1:7">
      <c r="A258">
        <v>257</v>
      </c>
      <c r="B258">
        <v>0.95299999999999996</v>
      </c>
      <c r="C258" t="s">
        <v>1</v>
      </c>
      <c r="D258" t="s">
        <v>5</v>
      </c>
      <c r="E258" t="str">
        <f t="shared" si="6"/>
        <v>並</v>
      </c>
      <c r="F258" s="7" t="str">
        <f>IF(A258="","",IF(E258="並","-",HLOOKUP(E258,単価表!$B$1:$D$2,2,FALSE)*B258))</f>
        <v>-</v>
      </c>
      <c r="G258" s="7" t="str">
        <f t="shared" si="7"/>
        <v>-</v>
      </c>
    </row>
    <row r="259" spans="1:7">
      <c r="A259">
        <v>258</v>
      </c>
      <c r="B259">
        <v>1.23</v>
      </c>
      <c r="C259" t="s">
        <v>3</v>
      </c>
      <c r="D259" t="s">
        <v>5</v>
      </c>
      <c r="E259" t="str">
        <f t="shared" ref="E259:E322" si="8">IF(A259="","",IF(OR(C259="並",D259="並"),"並",IF(OR(C259="良",D259="良"),"良","優")))</f>
        <v>並</v>
      </c>
      <c r="F259" s="7" t="str">
        <f>IF(A259="","",IF(E259="並","-",HLOOKUP(E259,単価表!$B$1:$D$2,2,FALSE)*B259))</f>
        <v>-</v>
      </c>
      <c r="G259" s="7" t="str">
        <f t="shared" si="7"/>
        <v>-</v>
      </c>
    </row>
    <row r="260" spans="1:7">
      <c r="A260">
        <v>259</v>
      </c>
      <c r="B260">
        <v>1.9650000000000001</v>
      </c>
      <c r="C260" t="s">
        <v>1</v>
      </c>
      <c r="D260" t="s">
        <v>3</v>
      </c>
      <c r="E260" t="str">
        <f t="shared" si="8"/>
        <v>良</v>
      </c>
      <c r="F260" s="7">
        <f>IF(A260="","",IF(E260="並","-",HLOOKUP(E260,単価表!$B$1:$D$2,2,FALSE)*B260))</f>
        <v>2358</v>
      </c>
      <c r="G260" s="7">
        <f t="shared" ref="G260:G323" si="9">IF(A260="","",IF(E260="並","-",ROUNDUP(F260/50,0)*50))</f>
        <v>2400</v>
      </c>
    </row>
    <row r="261" spans="1:7">
      <c r="A261">
        <v>260</v>
      </c>
      <c r="B261">
        <v>1.609</v>
      </c>
      <c r="C261" t="s">
        <v>1</v>
      </c>
      <c r="D261" t="s">
        <v>1</v>
      </c>
      <c r="E261" t="str">
        <f t="shared" si="8"/>
        <v>優</v>
      </c>
      <c r="F261" s="7">
        <f>IF(A261="","",IF(E261="並","-",HLOOKUP(E261,単価表!$B$1:$D$2,2,FALSE)*B261))</f>
        <v>2413.5</v>
      </c>
      <c r="G261" s="7">
        <f t="shared" si="9"/>
        <v>2450</v>
      </c>
    </row>
    <row r="262" spans="1:7">
      <c r="A262">
        <v>261</v>
      </c>
      <c r="B262">
        <v>1.1850000000000001</v>
      </c>
      <c r="C262" t="s">
        <v>1</v>
      </c>
      <c r="D262" t="s">
        <v>1</v>
      </c>
      <c r="E262" t="str">
        <f t="shared" si="8"/>
        <v>優</v>
      </c>
      <c r="F262" s="7">
        <f>IF(A262="","",IF(E262="並","-",HLOOKUP(E262,単価表!$B$1:$D$2,2,FALSE)*B262))</f>
        <v>1777.5</v>
      </c>
      <c r="G262" s="7">
        <f t="shared" si="9"/>
        <v>1800</v>
      </c>
    </row>
    <row r="263" spans="1:7">
      <c r="A263">
        <v>262</v>
      </c>
      <c r="B263">
        <v>2.339</v>
      </c>
      <c r="C263" t="s">
        <v>1</v>
      </c>
      <c r="D263" t="s">
        <v>3</v>
      </c>
      <c r="E263" t="str">
        <f t="shared" si="8"/>
        <v>良</v>
      </c>
      <c r="F263" s="7">
        <f>IF(A263="","",IF(E263="並","-",HLOOKUP(E263,単価表!$B$1:$D$2,2,FALSE)*B263))</f>
        <v>2806.8</v>
      </c>
      <c r="G263" s="7">
        <f t="shared" si="9"/>
        <v>2850</v>
      </c>
    </row>
    <row r="264" spans="1:7">
      <c r="A264">
        <v>263</v>
      </c>
      <c r="B264">
        <v>2.9870000000000001</v>
      </c>
      <c r="C264" t="s">
        <v>3</v>
      </c>
      <c r="D264" t="s">
        <v>1</v>
      </c>
      <c r="E264" t="str">
        <f t="shared" si="8"/>
        <v>良</v>
      </c>
      <c r="F264" s="7">
        <f>IF(A264="","",IF(E264="並","-",HLOOKUP(E264,単価表!$B$1:$D$2,2,FALSE)*B264))</f>
        <v>3584.4</v>
      </c>
      <c r="G264" s="7">
        <f t="shared" si="9"/>
        <v>3600</v>
      </c>
    </row>
    <row r="265" spans="1:7">
      <c r="A265">
        <v>264</v>
      </c>
      <c r="B265">
        <v>2.21</v>
      </c>
      <c r="C265" t="s">
        <v>3</v>
      </c>
      <c r="D265" t="s">
        <v>5</v>
      </c>
      <c r="E265" t="str">
        <f t="shared" si="8"/>
        <v>並</v>
      </c>
      <c r="F265" s="7" t="str">
        <f>IF(A265="","",IF(E265="並","-",HLOOKUP(E265,単価表!$B$1:$D$2,2,FALSE)*B265))</f>
        <v>-</v>
      </c>
      <c r="G265" s="7" t="str">
        <f t="shared" si="9"/>
        <v>-</v>
      </c>
    </row>
    <row r="266" spans="1:7">
      <c r="A266">
        <v>265</v>
      </c>
      <c r="B266">
        <v>1.698</v>
      </c>
      <c r="C266" t="s">
        <v>3</v>
      </c>
      <c r="D266" t="s">
        <v>1</v>
      </c>
      <c r="E266" t="str">
        <f t="shared" si="8"/>
        <v>良</v>
      </c>
      <c r="F266" s="7">
        <f>IF(A266="","",IF(E266="並","-",HLOOKUP(E266,単価表!$B$1:$D$2,2,FALSE)*B266))</f>
        <v>2037.6</v>
      </c>
      <c r="G266" s="7">
        <f t="shared" si="9"/>
        <v>2050</v>
      </c>
    </row>
    <row r="267" spans="1:7">
      <c r="A267">
        <v>266</v>
      </c>
      <c r="B267">
        <v>0.68899999999999995</v>
      </c>
      <c r="C267" t="s">
        <v>3</v>
      </c>
      <c r="D267" t="s">
        <v>3</v>
      </c>
      <c r="E267" t="str">
        <f t="shared" si="8"/>
        <v>良</v>
      </c>
      <c r="F267" s="7">
        <f>IF(A267="","",IF(E267="並","-",HLOOKUP(E267,単価表!$B$1:$D$2,2,FALSE)*B267))</f>
        <v>826.8</v>
      </c>
      <c r="G267" s="7">
        <f t="shared" si="9"/>
        <v>850</v>
      </c>
    </row>
    <row r="268" spans="1:7">
      <c r="A268">
        <v>267</v>
      </c>
      <c r="B268">
        <v>0.97699999999999998</v>
      </c>
      <c r="C268" t="s">
        <v>1</v>
      </c>
      <c r="D268" t="s">
        <v>5</v>
      </c>
      <c r="E268" t="str">
        <f t="shared" si="8"/>
        <v>並</v>
      </c>
      <c r="F268" s="7" t="str">
        <f>IF(A268="","",IF(E268="並","-",HLOOKUP(E268,単価表!$B$1:$D$2,2,FALSE)*B268))</f>
        <v>-</v>
      </c>
      <c r="G268" s="7" t="str">
        <f t="shared" si="9"/>
        <v>-</v>
      </c>
    </row>
    <row r="269" spans="1:7">
      <c r="A269">
        <v>268</v>
      </c>
      <c r="B269">
        <v>2.41</v>
      </c>
      <c r="C269" t="s">
        <v>1</v>
      </c>
      <c r="D269" t="s">
        <v>5</v>
      </c>
      <c r="E269" t="str">
        <f t="shared" si="8"/>
        <v>並</v>
      </c>
      <c r="F269" s="7" t="str">
        <f>IF(A269="","",IF(E269="並","-",HLOOKUP(E269,単価表!$B$1:$D$2,2,FALSE)*B269))</f>
        <v>-</v>
      </c>
      <c r="G269" s="7" t="str">
        <f t="shared" si="9"/>
        <v>-</v>
      </c>
    </row>
    <row r="270" spans="1:7">
      <c r="A270">
        <v>269</v>
      </c>
      <c r="B270">
        <v>0.66100000000000003</v>
      </c>
      <c r="C270" t="s">
        <v>3</v>
      </c>
      <c r="D270" t="s">
        <v>5</v>
      </c>
      <c r="E270" t="str">
        <f t="shared" si="8"/>
        <v>並</v>
      </c>
      <c r="F270" s="7" t="str">
        <f>IF(A270="","",IF(E270="並","-",HLOOKUP(E270,単価表!$B$1:$D$2,2,FALSE)*B270))</f>
        <v>-</v>
      </c>
      <c r="G270" s="7" t="str">
        <f t="shared" si="9"/>
        <v>-</v>
      </c>
    </row>
    <row r="271" spans="1:7">
      <c r="A271">
        <v>270</v>
      </c>
      <c r="B271">
        <v>2.2810000000000001</v>
      </c>
      <c r="C271" t="s">
        <v>1</v>
      </c>
      <c r="D271" t="s">
        <v>3</v>
      </c>
      <c r="E271" t="str">
        <f t="shared" si="8"/>
        <v>良</v>
      </c>
      <c r="F271" s="7">
        <f>IF(A271="","",IF(E271="並","-",HLOOKUP(E271,単価表!$B$1:$D$2,2,FALSE)*B271))</f>
        <v>2737.2000000000003</v>
      </c>
      <c r="G271" s="7">
        <f t="shared" si="9"/>
        <v>2750</v>
      </c>
    </row>
    <row r="272" spans="1:7">
      <c r="A272">
        <v>271</v>
      </c>
      <c r="B272">
        <v>2.2130000000000001</v>
      </c>
      <c r="C272" t="s">
        <v>3</v>
      </c>
      <c r="D272" t="s">
        <v>3</v>
      </c>
      <c r="E272" t="str">
        <f t="shared" si="8"/>
        <v>良</v>
      </c>
      <c r="F272" s="7">
        <f>IF(A272="","",IF(E272="並","-",HLOOKUP(E272,単価表!$B$1:$D$2,2,FALSE)*B272))</f>
        <v>2655.6</v>
      </c>
      <c r="G272" s="7">
        <f t="shared" si="9"/>
        <v>2700</v>
      </c>
    </row>
    <row r="273" spans="1:7">
      <c r="A273">
        <v>272</v>
      </c>
      <c r="B273">
        <v>2.8439999999999999</v>
      </c>
      <c r="C273" t="s">
        <v>1</v>
      </c>
      <c r="D273" t="s">
        <v>5</v>
      </c>
      <c r="E273" t="str">
        <f t="shared" si="8"/>
        <v>並</v>
      </c>
      <c r="F273" s="7" t="str">
        <f>IF(A273="","",IF(E273="並","-",HLOOKUP(E273,単価表!$B$1:$D$2,2,FALSE)*B273))</f>
        <v>-</v>
      </c>
      <c r="G273" s="7" t="str">
        <f t="shared" si="9"/>
        <v>-</v>
      </c>
    </row>
    <row r="274" spans="1:7">
      <c r="A274">
        <v>273</v>
      </c>
      <c r="B274">
        <v>2.2280000000000002</v>
      </c>
      <c r="C274" t="s">
        <v>1</v>
      </c>
      <c r="D274" t="s">
        <v>5</v>
      </c>
      <c r="E274" t="str">
        <f t="shared" si="8"/>
        <v>並</v>
      </c>
      <c r="F274" s="7" t="str">
        <f>IF(A274="","",IF(E274="並","-",HLOOKUP(E274,単価表!$B$1:$D$2,2,FALSE)*B274))</f>
        <v>-</v>
      </c>
      <c r="G274" s="7" t="str">
        <f t="shared" si="9"/>
        <v>-</v>
      </c>
    </row>
    <row r="275" spans="1:7">
      <c r="A275">
        <v>274</v>
      </c>
      <c r="B275">
        <v>0.67200000000000004</v>
      </c>
      <c r="C275" t="s">
        <v>3</v>
      </c>
      <c r="D275" t="s">
        <v>5</v>
      </c>
      <c r="E275" t="str">
        <f t="shared" si="8"/>
        <v>並</v>
      </c>
      <c r="F275" s="7" t="str">
        <f>IF(A275="","",IF(E275="並","-",HLOOKUP(E275,単価表!$B$1:$D$2,2,FALSE)*B275))</f>
        <v>-</v>
      </c>
      <c r="G275" s="7" t="str">
        <f t="shared" si="9"/>
        <v>-</v>
      </c>
    </row>
    <row r="276" spans="1:7">
      <c r="A276">
        <v>275</v>
      </c>
      <c r="B276">
        <v>0.66500000000000004</v>
      </c>
      <c r="C276" t="s">
        <v>1</v>
      </c>
      <c r="D276" t="s">
        <v>3</v>
      </c>
      <c r="E276" t="str">
        <f t="shared" si="8"/>
        <v>良</v>
      </c>
      <c r="F276" s="7">
        <f>IF(A276="","",IF(E276="並","-",HLOOKUP(E276,単価表!$B$1:$D$2,2,FALSE)*B276))</f>
        <v>798</v>
      </c>
      <c r="G276" s="7">
        <f t="shared" si="9"/>
        <v>800</v>
      </c>
    </row>
    <row r="277" spans="1:7">
      <c r="A277">
        <v>276</v>
      </c>
      <c r="B277">
        <v>1.33</v>
      </c>
      <c r="C277" t="s">
        <v>3</v>
      </c>
      <c r="D277" t="s">
        <v>3</v>
      </c>
      <c r="E277" t="str">
        <f t="shared" si="8"/>
        <v>良</v>
      </c>
      <c r="F277" s="7">
        <f>IF(A277="","",IF(E277="並","-",HLOOKUP(E277,単価表!$B$1:$D$2,2,FALSE)*B277))</f>
        <v>1596</v>
      </c>
      <c r="G277" s="7">
        <f t="shared" si="9"/>
        <v>1600</v>
      </c>
    </row>
    <row r="278" spans="1:7">
      <c r="A278">
        <v>277</v>
      </c>
      <c r="B278">
        <v>1.097</v>
      </c>
      <c r="C278" t="s">
        <v>1</v>
      </c>
      <c r="D278" t="s">
        <v>3</v>
      </c>
      <c r="E278" t="str">
        <f t="shared" si="8"/>
        <v>良</v>
      </c>
      <c r="F278" s="7">
        <f>IF(A278="","",IF(E278="並","-",HLOOKUP(E278,単価表!$B$1:$D$2,2,FALSE)*B278))</f>
        <v>1316.3999999999999</v>
      </c>
      <c r="G278" s="7">
        <f t="shared" si="9"/>
        <v>1350</v>
      </c>
    </row>
    <row r="279" spans="1:7">
      <c r="A279">
        <v>278</v>
      </c>
      <c r="B279">
        <v>2.706</v>
      </c>
      <c r="C279" t="s">
        <v>3</v>
      </c>
      <c r="D279" t="s">
        <v>1</v>
      </c>
      <c r="E279" t="str">
        <f t="shared" si="8"/>
        <v>良</v>
      </c>
      <c r="F279" s="7">
        <f>IF(A279="","",IF(E279="並","-",HLOOKUP(E279,単価表!$B$1:$D$2,2,FALSE)*B279))</f>
        <v>3247.2</v>
      </c>
      <c r="G279" s="7">
        <f t="shared" si="9"/>
        <v>3250</v>
      </c>
    </row>
    <row r="280" spans="1:7">
      <c r="A280">
        <v>279</v>
      </c>
      <c r="B280">
        <v>0.73399999999999999</v>
      </c>
      <c r="C280" t="s">
        <v>5</v>
      </c>
      <c r="D280" t="s">
        <v>3</v>
      </c>
      <c r="E280" t="str">
        <f t="shared" si="8"/>
        <v>並</v>
      </c>
      <c r="F280" s="7" t="str">
        <f>IF(A280="","",IF(E280="並","-",HLOOKUP(E280,単価表!$B$1:$D$2,2,FALSE)*B280))</f>
        <v>-</v>
      </c>
      <c r="G280" s="7" t="str">
        <f t="shared" si="9"/>
        <v>-</v>
      </c>
    </row>
    <row r="281" spans="1:7">
      <c r="A281">
        <v>280</v>
      </c>
      <c r="B281">
        <v>2.4980000000000002</v>
      </c>
      <c r="C281" t="s">
        <v>5</v>
      </c>
      <c r="D281" t="s">
        <v>5</v>
      </c>
      <c r="E281" t="str">
        <f t="shared" si="8"/>
        <v>並</v>
      </c>
      <c r="F281" s="7" t="str">
        <f>IF(A281="","",IF(E281="並","-",HLOOKUP(E281,単価表!$B$1:$D$2,2,FALSE)*B281))</f>
        <v>-</v>
      </c>
      <c r="G281" s="7" t="str">
        <f t="shared" si="9"/>
        <v>-</v>
      </c>
    </row>
    <row r="282" spans="1:7">
      <c r="A282">
        <v>281</v>
      </c>
      <c r="B282">
        <v>2.8490000000000002</v>
      </c>
      <c r="C282" t="s">
        <v>5</v>
      </c>
      <c r="D282" t="s">
        <v>1</v>
      </c>
      <c r="E282" t="str">
        <f t="shared" si="8"/>
        <v>並</v>
      </c>
      <c r="F282" s="7" t="str">
        <f>IF(A282="","",IF(E282="並","-",HLOOKUP(E282,単価表!$B$1:$D$2,2,FALSE)*B282))</f>
        <v>-</v>
      </c>
      <c r="G282" s="7" t="str">
        <f t="shared" si="9"/>
        <v>-</v>
      </c>
    </row>
    <row r="283" spans="1:7">
      <c r="A283">
        <v>282</v>
      </c>
      <c r="B283">
        <v>0.59499999999999997</v>
      </c>
      <c r="C283" t="s">
        <v>1</v>
      </c>
      <c r="D283" t="s">
        <v>3</v>
      </c>
      <c r="E283" t="str">
        <f t="shared" si="8"/>
        <v>良</v>
      </c>
      <c r="F283" s="7">
        <f>IF(A283="","",IF(E283="並","-",HLOOKUP(E283,単価表!$B$1:$D$2,2,FALSE)*B283))</f>
        <v>714</v>
      </c>
      <c r="G283" s="7">
        <f t="shared" si="9"/>
        <v>750</v>
      </c>
    </row>
    <row r="284" spans="1:7">
      <c r="A284">
        <v>283</v>
      </c>
      <c r="B284">
        <v>0.59699999999999998</v>
      </c>
      <c r="C284" t="s">
        <v>1</v>
      </c>
      <c r="D284" t="s">
        <v>1</v>
      </c>
      <c r="E284" t="str">
        <f t="shared" si="8"/>
        <v>優</v>
      </c>
      <c r="F284" s="7">
        <f>IF(A284="","",IF(E284="並","-",HLOOKUP(E284,単価表!$B$1:$D$2,2,FALSE)*B284))</f>
        <v>895.5</v>
      </c>
      <c r="G284" s="7">
        <f t="shared" si="9"/>
        <v>900</v>
      </c>
    </row>
    <row r="285" spans="1:7">
      <c r="A285">
        <v>284</v>
      </c>
      <c r="B285">
        <v>2.444</v>
      </c>
      <c r="C285" t="s">
        <v>1</v>
      </c>
      <c r="D285" t="s">
        <v>5</v>
      </c>
      <c r="E285" t="str">
        <f t="shared" si="8"/>
        <v>並</v>
      </c>
      <c r="F285" s="7" t="str">
        <f>IF(A285="","",IF(E285="並","-",HLOOKUP(E285,単価表!$B$1:$D$2,2,FALSE)*B285))</f>
        <v>-</v>
      </c>
      <c r="G285" s="7" t="str">
        <f t="shared" si="9"/>
        <v>-</v>
      </c>
    </row>
    <row r="286" spans="1:7">
      <c r="A286">
        <v>285</v>
      </c>
      <c r="B286">
        <v>1.0469999999999999</v>
      </c>
      <c r="C286" t="s">
        <v>5</v>
      </c>
      <c r="D286" t="s">
        <v>3</v>
      </c>
      <c r="E286" t="str">
        <f t="shared" si="8"/>
        <v>並</v>
      </c>
      <c r="F286" s="7" t="str">
        <f>IF(A286="","",IF(E286="並","-",HLOOKUP(E286,単価表!$B$1:$D$2,2,FALSE)*B286))</f>
        <v>-</v>
      </c>
      <c r="G286" s="7" t="str">
        <f t="shared" si="9"/>
        <v>-</v>
      </c>
    </row>
    <row r="287" spans="1:7">
      <c r="A287">
        <v>286</v>
      </c>
      <c r="B287">
        <v>0.64300000000000002</v>
      </c>
      <c r="C287" t="s">
        <v>5</v>
      </c>
      <c r="D287" t="s">
        <v>3</v>
      </c>
      <c r="E287" t="str">
        <f t="shared" si="8"/>
        <v>並</v>
      </c>
      <c r="F287" s="7" t="str">
        <f>IF(A287="","",IF(E287="並","-",HLOOKUP(E287,単価表!$B$1:$D$2,2,FALSE)*B287))</f>
        <v>-</v>
      </c>
      <c r="G287" s="7" t="str">
        <f t="shared" si="9"/>
        <v>-</v>
      </c>
    </row>
    <row r="288" spans="1:7">
      <c r="A288">
        <v>287</v>
      </c>
      <c r="B288">
        <v>0.98599999999999999</v>
      </c>
      <c r="C288" t="s">
        <v>3</v>
      </c>
      <c r="D288" t="s">
        <v>3</v>
      </c>
      <c r="E288" t="str">
        <f t="shared" si="8"/>
        <v>良</v>
      </c>
      <c r="F288" s="7">
        <f>IF(A288="","",IF(E288="並","-",HLOOKUP(E288,単価表!$B$1:$D$2,2,FALSE)*B288))</f>
        <v>1183.2</v>
      </c>
      <c r="G288" s="7">
        <f t="shared" si="9"/>
        <v>1200</v>
      </c>
    </row>
    <row r="289" spans="1:7">
      <c r="A289">
        <v>288</v>
      </c>
      <c r="B289">
        <v>0.73499999999999999</v>
      </c>
      <c r="C289" t="s">
        <v>1</v>
      </c>
      <c r="D289" t="s">
        <v>5</v>
      </c>
      <c r="E289" t="str">
        <f t="shared" si="8"/>
        <v>並</v>
      </c>
      <c r="F289" s="7" t="str">
        <f>IF(A289="","",IF(E289="並","-",HLOOKUP(E289,単価表!$B$1:$D$2,2,FALSE)*B289))</f>
        <v>-</v>
      </c>
      <c r="G289" s="7" t="str">
        <f t="shared" si="9"/>
        <v>-</v>
      </c>
    </row>
    <row r="290" spans="1:7">
      <c r="A290">
        <v>289</v>
      </c>
      <c r="B290">
        <v>1.635</v>
      </c>
      <c r="C290" t="s">
        <v>1</v>
      </c>
      <c r="D290" t="s">
        <v>1</v>
      </c>
      <c r="E290" t="str">
        <f t="shared" si="8"/>
        <v>優</v>
      </c>
      <c r="F290" s="7">
        <f>IF(A290="","",IF(E290="並","-",HLOOKUP(E290,単価表!$B$1:$D$2,2,FALSE)*B290))</f>
        <v>2452.5</v>
      </c>
      <c r="G290" s="7">
        <f t="shared" si="9"/>
        <v>2500</v>
      </c>
    </row>
    <row r="291" spans="1:7">
      <c r="A291">
        <v>290</v>
      </c>
      <c r="B291">
        <v>1.2070000000000001</v>
      </c>
      <c r="C291" t="s">
        <v>1</v>
      </c>
      <c r="D291" t="s">
        <v>3</v>
      </c>
      <c r="E291" t="str">
        <f t="shared" si="8"/>
        <v>良</v>
      </c>
      <c r="F291" s="7">
        <f>IF(A291="","",IF(E291="並","-",HLOOKUP(E291,単価表!$B$1:$D$2,2,FALSE)*B291))</f>
        <v>1448.4</v>
      </c>
      <c r="G291" s="7">
        <f t="shared" si="9"/>
        <v>1450</v>
      </c>
    </row>
    <row r="292" spans="1:7">
      <c r="A292">
        <v>291</v>
      </c>
      <c r="B292">
        <v>1.2989999999999999</v>
      </c>
      <c r="C292" t="s">
        <v>1</v>
      </c>
      <c r="D292" t="s">
        <v>3</v>
      </c>
      <c r="E292" t="str">
        <f t="shared" si="8"/>
        <v>良</v>
      </c>
      <c r="F292" s="7">
        <f>IF(A292="","",IF(E292="並","-",HLOOKUP(E292,単価表!$B$1:$D$2,2,FALSE)*B292))</f>
        <v>1558.8</v>
      </c>
      <c r="G292" s="7">
        <f t="shared" si="9"/>
        <v>1600</v>
      </c>
    </row>
    <row r="293" spans="1:7">
      <c r="A293">
        <v>292</v>
      </c>
      <c r="B293">
        <v>1.0249999999999999</v>
      </c>
      <c r="C293" t="s">
        <v>1</v>
      </c>
      <c r="D293" t="s">
        <v>3</v>
      </c>
      <c r="E293" t="str">
        <f t="shared" si="8"/>
        <v>良</v>
      </c>
      <c r="F293" s="7">
        <f>IF(A293="","",IF(E293="並","-",HLOOKUP(E293,単価表!$B$1:$D$2,2,FALSE)*B293))</f>
        <v>1230</v>
      </c>
      <c r="G293" s="7">
        <f t="shared" si="9"/>
        <v>1250</v>
      </c>
    </row>
    <row r="294" spans="1:7">
      <c r="A294">
        <v>293</v>
      </c>
      <c r="B294">
        <v>0.57199999999999995</v>
      </c>
      <c r="C294" t="s">
        <v>5</v>
      </c>
      <c r="D294" t="s">
        <v>5</v>
      </c>
      <c r="E294" t="str">
        <f t="shared" si="8"/>
        <v>並</v>
      </c>
      <c r="F294" s="7" t="str">
        <f>IF(A294="","",IF(E294="並","-",HLOOKUP(E294,単価表!$B$1:$D$2,2,FALSE)*B294))</f>
        <v>-</v>
      </c>
      <c r="G294" s="7" t="str">
        <f t="shared" si="9"/>
        <v>-</v>
      </c>
    </row>
    <row r="295" spans="1:7">
      <c r="A295">
        <v>294</v>
      </c>
      <c r="B295">
        <v>1.488</v>
      </c>
      <c r="C295" t="s">
        <v>1</v>
      </c>
      <c r="D295" t="s">
        <v>5</v>
      </c>
      <c r="E295" t="str">
        <f t="shared" si="8"/>
        <v>並</v>
      </c>
      <c r="F295" s="7" t="str">
        <f>IF(A295="","",IF(E295="並","-",HLOOKUP(E295,単価表!$B$1:$D$2,2,FALSE)*B295))</f>
        <v>-</v>
      </c>
      <c r="G295" s="7" t="str">
        <f t="shared" si="9"/>
        <v>-</v>
      </c>
    </row>
    <row r="296" spans="1:7">
      <c r="A296">
        <v>295</v>
      </c>
      <c r="B296">
        <v>2.2570000000000001</v>
      </c>
      <c r="C296" t="s">
        <v>1</v>
      </c>
      <c r="D296" t="s">
        <v>5</v>
      </c>
      <c r="E296" t="str">
        <f t="shared" si="8"/>
        <v>並</v>
      </c>
      <c r="F296" s="7" t="str">
        <f>IF(A296="","",IF(E296="並","-",HLOOKUP(E296,単価表!$B$1:$D$2,2,FALSE)*B296))</f>
        <v>-</v>
      </c>
      <c r="G296" s="7" t="str">
        <f t="shared" si="9"/>
        <v>-</v>
      </c>
    </row>
    <row r="297" spans="1:7">
      <c r="A297">
        <v>296</v>
      </c>
      <c r="B297">
        <v>1.946</v>
      </c>
      <c r="C297" t="s">
        <v>1</v>
      </c>
      <c r="D297" t="s">
        <v>3</v>
      </c>
      <c r="E297" t="str">
        <f t="shared" si="8"/>
        <v>良</v>
      </c>
      <c r="F297" s="7">
        <f>IF(A297="","",IF(E297="並","-",HLOOKUP(E297,単価表!$B$1:$D$2,2,FALSE)*B297))</f>
        <v>2335.1999999999998</v>
      </c>
      <c r="G297" s="7">
        <f t="shared" si="9"/>
        <v>2350</v>
      </c>
    </row>
    <row r="298" spans="1:7">
      <c r="A298">
        <v>297</v>
      </c>
      <c r="B298">
        <v>2.3410000000000002</v>
      </c>
      <c r="C298" t="s">
        <v>5</v>
      </c>
      <c r="D298" t="s">
        <v>5</v>
      </c>
      <c r="E298" t="str">
        <f t="shared" si="8"/>
        <v>並</v>
      </c>
      <c r="F298" s="7" t="str">
        <f>IF(A298="","",IF(E298="並","-",HLOOKUP(E298,単価表!$B$1:$D$2,2,FALSE)*B298))</f>
        <v>-</v>
      </c>
      <c r="G298" s="7" t="str">
        <f t="shared" si="9"/>
        <v>-</v>
      </c>
    </row>
    <row r="299" spans="1:7">
      <c r="A299">
        <v>298</v>
      </c>
      <c r="B299">
        <v>2.722</v>
      </c>
      <c r="C299" t="s">
        <v>3</v>
      </c>
      <c r="D299" t="s">
        <v>1</v>
      </c>
      <c r="E299" t="str">
        <f t="shared" si="8"/>
        <v>良</v>
      </c>
      <c r="F299" s="7">
        <f>IF(A299="","",IF(E299="並","-",HLOOKUP(E299,単価表!$B$1:$D$2,2,FALSE)*B299))</f>
        <v>3266.4</v>
      </c>
      <c r="G299" s="7">
        <f t="shared" si="9"/>
        <v>3300</v>
      </c>
    </row>
    <row r="300" spans="1:7">
      <c r="A300">
        <v>299</v>
      </c>
      <c r="B300">
        <v>2.9020000000000001</v>
      </c>
      <c r="C300" t="s">
        <v>1</v>
      </c>
      <c r="D300" t="s">
        <v>1</v>
      </c>
      <c r="E300" t="str">
        <f t="shared" si="8"/>
        <v>優</v>
      </c>
      <c r="F300" s="7">
        <f>IF(A300="","",IF(E300="並","-",HLOOKUP(E300,単価表!$B$1:$D$2,2,FALSE)*B300))</f>
        <v>4353</v>
      </c>
      <c r="G300" s="7">
        <f t="shared" si="9"/>
        <v>4400</v>
      </c>
    </row>
    <row r="301" spans="1:7">
      <c r="A301">
        <v>300</v>
      </c>
      <c r="B301">
        <v>1.28</v>
      </c>
      <c r="C301" t="s">
        <v>3</v>
      </c>
      <c r="D301" t="s">
        <v>1</v>
      </c>
      <c r="E301" t="str">
        <f t="shared" si="8"/>
        <v>良</v>
      </c>
      <c r="F301" s="7">
        <f>IF(A301="","",IF(E301="並","-",HLOOKUP(E301,単価表!$B$1:$D$2,2,FALSE)*B301))</f>
        <v>1536</v>
      </c>
      <c r="G301" s="7">
        <f t="shared" si="9"/>
        <v>1550</v>
      </c>
    </row>
    <row r="302" spans="1:7">
      <c r="A302">
        <v>301</v>
      </c>
      <c r="B302">
        <v>2.4060000000000001</v>
      </c>
      <c r="C302" t="s">
        <v>1</v>
      </c>
      <c r="D302" t="s">
        <v>5</v>
      </c>
      <c r="E302" t="str">
        <f t="shared" si="8"/>
        <v>並</v>
      </c>
      <c r="F302" s="7" t="str">
        <f>IF(A302="","",IF(E302="並","-",HLOOKUP(E302,単価表!$B$1:$D$2,2,FALSE)*B302))</f>
        <v>-</v>
      </c>
      <c r="G302" s="7" t="str">
        <f t="shared" si="9"/>
        <v>-</v>
      </c>
    </row>
    <row r="303" spans="1:7">
      <c r="A303">
        <v>302</v>
      </c>
      <c r="B303">
        <v>1.9510000000000001</v>
      </c>
      <c r="C303" t="s">
        <v>1</v>
      </c>
      <c r="D303" t="s">
        <v>1</v>
      </c>
      <c r="E303" t="str">
        <f t="shared" si="8"/>
        <v>優</v>
      </c>
      <c r="F303" s="7">
        <f>IF(A303="","",IF(E303="並","-",HLOOKUP(E303,単価表!$B$1:$D$2,2,FALSE)*B303))</f>
        <v>2926.5</v>
      </c>
      <c r="G303" s="7">
        <f t="shared" si="9"/>
        <v>2950</v>
      </c>
    </row>
    <row r="304" spans="1:7">
      <c r="A304">
        <v>303</v>
      </c>
      <c r="B304">
        <v>0.53700000000000003</v>
      </c>
      <c r="C304" t="s">
        <v>3</v>
      </c>
      <c r="D304" t="s">
        <v>3</v>
      </c>
      <c r="E304" t="str">
        <f t="shared" si="8"/>
        <v>良</v>
      </c>
      <c r="F304" s="7">
        <f>IF(A304="","",IF(E304="並","-",HLOOKUP(E304,単価表!$B$1:$D$2,2,FALSE)*B304))</f>
        <v>644.40000000000009</v>
      </c>
      <c r="G304" s="7">
        <f t="shared" si="9"/>
        <v>650</v>
      </c>
    </row>
    <row r="305" spans="1:7">
      <c r="A305">
        <v>304</v>
      </c>
      <c r="B305">
        <v>2.1560000000000001</v>
      </c>
      <c r="C305" t="s">
        <v>3</v>
      </c>
      <c r="D305" t="s">
        <v>3</v>
      </c>
      <c r="E305" t="str">
        <f t="shared" si="8"/>
        <v>良</v>
      </c>
      <c r="F305" s="7">
        <f>IF(A305="","",IF(E305="並","-",HLOOKUP(E305,単価表!$B$1:$D$2,2,FALSE)*B305))</f>
        <v>2587.2000000000003</v>
      </c>
      <c r="G305" s="7">
        <f t="shared" si="9"/>
        <v>2600</v>
      </c>
    </row>
    <row r="306" spans="1:7">
      <c r="A306">
        <v>305</v>
      </c>
      <c r="B306">
        <v>1.659</v>
      </c>
      <c r="C306" t="s">
        <v>3</v>
      </c>
      <c r="D306" t="s">
        <v>5</v>
      </c>
      <c r="E306" t="str">
        <f t="shared" si="8"/>
        <v>並</v>
      </c>
      <c r="F306" s="7" t="str">
        <f>IF(A306="","",IF(E306="並","-",HLOOKUP(E306,単価表!$B$1:$D$2,2,FALSE)*B306))</f>
        <v>-</v>
      </c>
      <c r="G306" s="7" t="str">
        <f t="shared" si="9"/>
        <v>-</v>
      </c>
    </row>
    <row r="307" spans="1:7">
      <c r="A307">
        <v>306</v>
      </c>
      <c r="B307">
        <v>1.91</v>
      </c>
      <c r="C307" t="s">
        <v>5</v>
      </c>
      <c r="D307" t="s">
        <v>5</v>
      </c>
      <c r="E307" t="str">
        <f t="shared" si="8"/>
        <v>並</v>
      </c>
      <c r="F307" s="7" t="str">
        <f>IF(A307="","",IF(E307="並","-",HLOOKUP(E307,単価表!$B$1:$D$2,2,FALSE)*B307))</f>
        <v>-</v>
      </c>
      <c r="G307" s="7" t="str">
        <f t="shared" si="9"/>
        <v>-</v>
      </c>
    </row>
    <row r="308" spans="1:7">
      <c r="A308">
        <v>307</v>
      </c>
      <c r="B308">
        <v>1.48</v>
      </c>
      <c r="C308" t="s">
        <v>3</v>
      </c>
      <c r="D308" t="s">
        <v>5</v>
      </c>
      <c r="E308" t="str">
        <f t="shared" si="8"/>
        <v>並</v>
      </c>
      <c r="F308" s="7" t="str">
        <f>IF(A308="","",IF(E308="並","-",HLOOKUP(E308,単価表!$B$1:$D$2,2,FALSE)*B308))</f>
        <v>-</v>
      </c>
      <c r="G308" s="7" t="str">
        <f t="shared" si="9"/>
        <v>-</v>
      </c>
    </row>
    <row r="309" spans="1:7">
      <c r="A309">
        <v>308</v>
      </c>
      <c r="B309">
        <v>1.099</v>
      </c>
      <c r="C309" t="s">
        <v>5</v>
      </c>
      <c r="D309" t="s">
        <v>5</v>
      </c>
      <c r="E309" t="str">
        <f t="shared" si="8"/>
        <v>並</v>
      </c>
      <c r="F309" s="7" t="str">
        <f>IF(A309="","",IF(E309="並","-",HLOOKUP(E309,単価表!$B$1:$D$2,2,FALSE)*B309))</f>
        <v>-</v>
      </c>
      <c r="G309" s="7" t="str">
        <f t="shared" si="9"/>
        <v>-</v>
      </c>
    </row>
    <row r="310" spans="1:7">
      <c r="A310">
        <v>309</v>
      </c>
      <c r="B310">
        <v>1.054</v>
      </c>
      <c r="C310" t="s">
        <v>1</v>
      </c>
      <c r="D310" t="s">
        <v>3</v>
      </c>
      <c r="E310" t="str">
        <f t="shared" si="8"/>
        <v>良</v>
      </c>
      <c r="F310" s="7">
        <f>IF(A310="","",IF(E310="並","-",HLOOKUP(E310,単価表!$B$1:$D$2,2,FALSE)*B310))</f>
        <v>1264.8</v>
      </c>
      <c r="G310" s="7">
        <f t="shared" si="9"/>
        <v>1300</v>
      </c>
    </row>
    <row r="311" spans="1:7">
      <c r="A311">
        <v>310</v>
      </c>
      <c r="B311">
        <v>2.2679999999999998</v>
      </c>
      <c r="C311" t="s">
        <v>3</v>
      </c>
      <c r="D311" t="s">
        <v>1</v>
      </c>
      <c r="E311" t="str">
        <f t="shared" si="8"/>
        <v>良</v>
      </c>
      <c r="F311" s="7">
        <f>IF(A311="","",IF(E311="並","-",HLOOKUP(E311,単価表!$B$1:$D$2,2,FALSE)*B311))</f>
        <v>2721.6</v>
      </c>
      <c r="G311" s="7">
        <f t="shared" si="9"/>
        <v>2750</v>
      </c>
    </row>
    <row r="312" spans="1:7">
      <c r="A312">
        <v>311</v>
      </c>
      <c r="B312">
        <v>2.7090000000000001</v>
      </c>
      <c r="C312" t="s">
        <v>1</v>
      </c>
      <c r="D312" t="s">
        <v>3</v>
      </c>
      <c r="E312" t="str">
        <f t="shared" si="8"/>
        <v>良</v>
      </c>
      <c r="F312" s="7">
        <f>IF(A312="","",IF(E312="並","-",HLOOKUP(E312,単価表!$B$1:$D$2,2,FALSE)*B312))</f>
        <v>3250.8</v>
      </c>
      <c r="G312" s="7">
        <f t="shared" si="9"/>
        <v>3300</v>
      </c>
    </row>
    <row r="313" spans="1:7">
      <c r="A313">
        <v>312</v>
      </c>
      <c r="B313">
        <v>1.141</v>
      </c>
      <c r="C313" t="s">
        <v>1</v>
      </c>
      <c r="D313" t="s">
        <v>3</v>
      </c>
      <c r="E313" t="str">
        <f t="shared" si="8"/>
        <v>良</v>
      </c>
      <c r="F313" s="7">
        <f>IF(A313="","",IF(E313="並","-",HLOOKUP(E313,単価表!$B$1:$D$2,2,FALSE)*B313))</f>
        <v>1369.2</v>
      </c>
      <c r="G313" s="7">
        <f t="shared" si="9"/>
        <v>1400</v>
      </c>
    </row>
    <row r="314" spans="1:7">
      <c r="A314">
        <v>313</v>
      </c>
      <c r="B314">
        <v>0.80600000000000005</v>
      </c>
      <c r="C314" t="s">
        <v>3</v>
      </c>
      <c r="D314" t="s">
        <v>5</v>
      </c>
      <c r="E314" t="str">
        <f t="shared" si="8"/>
        <v>並</v>
      </c>
      <c r="F314" s="7" t="str">
        <f>IF(A314="","",IF(E314="並","-",HLOOKUP(E314,単価表!$B$1:$D$2,2,FALSE)*B314))</f>
        <v>-</v>
      </c>
      <c r="G314" s="7" t="str">
        <f t="shared" si="9"/>
        <v>-</v>
      </c>
    </row>
    <row r="315" spans="1:7">
      <c r="A315">
        <v>314</v>
      </c>
      <c r="B315">
        <v>2.141</v>
      </c>
      <c r="C315" t="s">
        <v>1</v>
      </c>
      <c r="D315" t="s">
        <v>1</v>
      </c>
      <c r="E315" t="str">
        <f t="shared" si="8"/>
        <v>優</v>
      </c>
      <c r="F315" s="7">
        <f>IF(A315="","",IF(E315="並","-",HLOOKUP(E315,単価表!$B$1:$D$2,2,FALSE)*B315))</f>
        <v>3211.5</v>
      </c>
      <c r="G315" s="7">
        <f t="shared" si="9"/>
        <v>3250</v>
      </c>
    </row>
    <row r="316" spans="1:7">
      <c r="A316">
        <v>315</v>
      </c>
      <c r="B316">
        <v>1.61</v>
      </c>
      <c r="C316" t="s">
        <v>5</v>
      </c>
      <c r="D316" t="s">
        <v>3</v>
      </c>
      <c r="E316" t="str">
        <f t="shared" si="8"/>
        <v>並</v>
      </c>
      <c r="F316" s="7" t="str">
        <f>IF(A316="","",IF(E316="並","-",HLOOKUP(E316,単価表!$B$1:$D$2,2,FALSE)*B316))</f>
        <v>-</v>
      </c>
      <c r="G316" s="7" t="str">
        <f t="shared" si="9"/>
        <v>-</v>
      </c>
    </row>
    <row r="317" spans="1:7">
      <c r="A317">
        <v>316</v>
      </c>
      <c r="B317">
        <v>1.0389999999999999</v>
      </c>
      <c r="C317" t="s">
        <v>5</v>
      </c>
      <c r="D317" t="s">
        <v>5</v>
      </c>
      <c r="E317" t="str">
        <f t="shared" si="8"/>
        <v>並</v>
      </c>
      <c r="F317" s="7" t="str">
        <f>IF(A317="","",IF(E317="並","-",HLOOKUP(E317,単価表!$B$1:$D$2,2,FALSE)*B317))</f>
        <v>-</v>
      </c>
      <c r="G317" s="7" t="str">
        <f t="shared" si="9"/>
        <v>-</v>
      </c>
    </row>
    <row r="318" spans="1:7">
      <c r="A318">
        <v>317</v>
      </c>
      <c r="B318">
        <v>2.177</v>
      </c>
      <c r="C318" t="s">
        <v>3</v>
      </c>
      <c r="D318" t="s">
        <v>5</v>
      </c>
      <c r="E318" t="str">
        <f t="shared" si="8"/>
        <v>並</v>
      </c>
      <c r="F318" s="7" t="str">
        <f>IF(A318="","",IF(E318="並","-",HLOOKUP(E318,単価表!$B$1:$D$2,2,FALSE)*B318))</f>
        <v>-</v>
      </c>
      <c r="G318" s="7" t="str">
        <f t="shared" si="9"/>
        <v>-</v>
      </c>
    </row>
    <row r="319" spans="1:7">
      <c r="A319">
        <v>318</v>
      </c>
      <c r="B319">
        <v>0.84799999999999998</v>
      </c>
      <c r="C319" t="s">
        <v>1</v>
      </c>
      <c r="D319" t="s">
        <v>1</v>
      </c>
      <c r="E319" t="str">
        <f t="shared" si="8"/>
        <v>優</v>
      </c>
      <c r="F319" s="7">
        <f>IF(A319="","",IF(E319="並","-",HLOOKUP(E319,単価表!$B$1:$D$2,2,FALSE)*B319))</f>
        <v>1272</v>
      </c>
      <c r="G319" s="7">
        <f t="shared" si="9"/>
        <v>1300</v>
      </c>
    </row>
    <row r="320" spans="1:7">
      <c r="A320">
        <v>319</v>
      </c>
      <c r="B320">
        <v>2.8839999999999999</v>
      </c>
      <c r="C320" t="s">
        <v>3</v>
      </c>
      <c r="D320" t="s">
        <v>1</v>
      </c>
      <c r="E320" t="str">
        <f t="shared" si="8"/>
        <v>良</v>
      </c>
      <c r="F320" s="7">
        <f>IF(A320="","",IF(E320="並","-",HLOOKUP(E320,単価表!$B$1:$D$2,2,FALSE)*B320))</f>
        <v>3460.7999999999997</v>
      </c>
      <c r="G320" s="7">
        <f t="shared" si="9"/>
        <v>3500</v>
      </c>
    </row>
    <row r="321" spans="1:7">
      <c r="A321">
        <v>320</v>
      </c>
      <c r="B321">
        <v>2.4380000000000002</v>
      </c>
      <c r="C321" t="s">
        <v>3</v>
      </c>
      <c r="D321" t="s">
        <v>1</v>
      </c>
      <c r="E321" t="str">
        <f t="shared" si="8"/>
        <v>良</v>
      </c>
      <c r="F321" s="7">
        <f>IF(A321="","",IF(E321="並","-",HLOOKUP(E321,単価表!$B$1:$D$2,2,FALSE)*B321))</f>
        <v>2925.6000000000004</v>
      </c>
      <c r="G321" s="7">
        <f t="shared" si="9"/>
        <v>2950</v>
      </c>
    </row>
    <row r="322" spans="1:7">
      <c r="A322">
        <v>321</v>
      </c>
      <c r="B322">
        <v>0.58199999999999996</v>
      </c>
      <c r="C322" t="s">
        <v>3</v>
      </c>
      <c r="D322" t="s">
        <v>3</v>
      </c>
      <c r="E322" t="str">
        <f t="shared" si="8"/>
        <v>良</v>
      </c>
      <c r="F322" s="7">
        <f>IF(A322="","",IF(E322="並","-",HLOOKUP(E322,単価表!$B$1:$D$2,2,FALSE)*B322))</f>
        <v>698.4</v>
      </c>
      <c r="G322" s="7">
        <f t="shared" si="9"/>
        <v>700</v>
      </c>
    </row>
    <row r="323" spans="1:7">
      <c r="A323">
        <v>322</v>
      </c>
      <c r="B323">
        <v>0.98899999999999999</v>
      </c>
      <c r="C323" t="s">
        <v>3</v>
      </c>
      <c r="D323" t="s">
        <v>1</v>
      </c>
      <c r="E323" t="str">
        <f t="shared" ref="E323:E386" si="10">IF(A323="","",IF(OR(C323="並",D323="並"),"並",IF(OR(C323="良",D323="良"),"良","優")))</f>
        <v>良</v>
      </c>
      <c r="F323" s="7">
        <f>IF(A323="","",IF(E323="並","-",HLOOKUP(E323,単価表!$B$1:$D$2,2,FALSE)*B323))</f>
        <v>1186.8</v>
      </c>
      <c r="G323" s="7">
        <f t="shared" si="9"/>
        <v>1200</v>
      </c>
    </row>
    <row r="324" spans="1:7">
      <c r="A324">
        <v>323</v>
      </c>
      <c r="B324">
        <v>2.4500000000000002</v>
      </c>
      <c r="C324" t="s">
        <v>5</v>
      </c>
      <c r="D324" t="s">
        <v>3</v>
      </c>
      <c r="E324" t="str">
        <f t="shared" si="10"/>
        <v>並</v>
      </c>
      <c r="F324" s="7" t="str">
        <f>IF(A324="","",IF(E324="並","-",HLOOKUP(E324,単価表!$B$1:$D$2,2,FALSE)*B324))</f>
        <v>-</v>
      </c>
      <c r="G324" s="7" t="str">
        <f t="shared" ref="G324:G387" si="11">IF(A324="","",IF(E324="並","-",ROUNDUP(F324/50,0)*50))</f>
        <v>-</v>
      </c>
    </row>
    <row r="325" spans="1:7">
      <c r="A325">
        <v>324</v>
      </c>
      <c r="B325">
        <v>0.68400000000000005</v>
      </c>
      <c r="C325" t="s">
        <v>3</v>
      </c>
      <c r="D325" t="s">
        <v>3</v>
      </c>
      <c r="E325" t="str">
        <f t="shared" si="10"/>
        <v>良</v>
      </c>
      <c r="F325" s="7">
        <f>IF(A325="","",IF(E325="並","-",HLOOKUP(E325,単価表!$B$1:$D$2,2,FALSE)*B325))</f>
        <v>820.80000000000007</v>
      </c>
      <c r="G325" s="7">
        <f t="shared" si="11"/>
        <v>850</v>
      </c>
    </row>
    <row r="326" spans="1:7">
      <c r="A326">
        <v>325</v>
      </c>
      <c r="B326">
        <v>1.9019999999999999</v>
      </c>
      <c r="C326" t="s">
        <v>3</v>
      </c>
      <c r="D326" t="s">
        <v>3</v>
      </c>
      <c r="E326" t="str">
        <f t="shared" si="10"/>
        <v>良</v>
      </c>
      <c r="F326" s="7">
        <f>IF(A326="","",IF(E326="並","-",HLOOKUP(E326,単価表!$B$1:$D$2,2,FALSE)*B326))</f>
        <v>2282.4</v>
      </c>
      <c r="G326" s="7">
        <f t="shared" si="11"/>
        <v>2300</v>
      </c>
    </row>
    <row r="327" spans="1:7">
      <c r="A327">
        <v>326</v>
      </c>
      <c r="B327">
        <v>2.2370000000000001</v>
      </c>
      <c r="C327" t="s">
        <v>5</v>
      </c>
      <c r="D327" t="s">
        <v>1</v>
      </c>
      <c r="E327" t="str">
        <f t="shared" si="10"/>
        <v>並</v>
      </c>
      <c r="F327" s="7" t="str">
        <f>IF(A327="","",IF(E327="並","-",HLOOKUP(E327,単価表!$B$1:$D$2,2,FALSE)*B327))</f>
        <v>-</v>
      </c>
      <c r="G327" s="7" t="str">
        <f t="shared" si="11"/>
        <v>-</v>
      </c>
    </row>
    <row r="328" spans="1:7">
      <c r="A328">
        <v>327</v>
      </c>
      <c r="B328">
        <v>0.96099999999999997</v>
      </c>
      <c r="C328" t="s">
        <v>3</v>
      </c>
      <c r="D328" t="s">
        <v>5</v>
      </c>
      <c r="E328" t="str">
        <f t="shared" si="10"/>
        <v>並</v>
      </c>
      <c r="F328" s="7" t="str">
        <f>IF(A328="","",IF(E328="並","-",HLOOKUP(E328,単価表!$B$1:$D$2,2,FALSE)*B328))</f>
        <v>-</v>
      </c>
      <c r="G328" s="7" t="str">
        <f t="shared" si="11"/>
        <v>-</v>
      </c>
    </row>
    <row r="329" spans="1:7">
      <c r="A329">
        <v>328</v>
      </c>
      <c r="B329">
        <v>0.85099999999999998</v>
      </c>
      <c r="C329" t="s">
        <v>5</v>
      </c>
      <c r="D329" t="s">
        <v>1</v>
      </c>
      <c r="E329" t="str">
        <f t="shared" si="10"/>
        <v>並</v>
      </c>
      <c r="F329" s="7" t="str">
        <f>IF(A329="","",IF(E329="並","-",HLOOKUP(E329,単価表!$B$1:$D$2,2,FALSE)*B329))</f>
        <v>-</v>
      </c>
      <c r="G329" s="7" t="str">
        <f t="shared" si="11"/>
        <v>-</v>
      </c>
    </row>
    <row r="330" spans="1:7">
      <c r="A330">
        <v>329</v>
      </c>
      <c r="B330">
        <v>2.0089999999999999</v>
      </c>
      <c r="C330" t="s">
        <v>5</v>
      </c>
      <c r="D330" t="s">
        <v>3</v>
      </c>
      <c r="E330" t="str">
        <f t="shared" si="10"/>
        <v>並</v>
      </c>
      <c r="F330" s="7" t="str">
        <f>IF(A330="","",IF(E330="並","-",HLOOKUP(E330,単価表!$B$1:$D$2,2,FALSE)*B330))</f>
        <v>-</v>
      </c>
      <c r="G330" s="7" t="str">
        <f t="shared" si="11"/>
        <v>-</v>
      </c>
    </row>
    <row r="331" spans="1:7">
      <c r="A331">
        <v>330</v>
      </c>
      <c r="B331">
        <v>2.2010000000000001</v>
      </c>
      <c r="C331" t="s">
        <v>5</v>
      </c>
      <c r="D331" t="s">
        <v>5</v>
      </c>
      <c r="E331" t="str">
        <f t="shared" si="10"/>
        <v>並</v>
      </c>
      <c r="F331" s="7" t="str">
        <f>IF(A331="","",IF(E331="並","-",HLOOKUP(E331,単価表!$B$1:$D$2,2,FALSE)*B331))</f>
        <v>-</v>
      </c>
      <c r="G331" s="7" t="str">
        <f t="shared" si="11"/>
        <v>-</v>
      </c>
    </row>
    <row r="332" spans="1:7">
      <c r="A332">
        <v>331</v>
      </c>
      <c r="B332">
        <v>2.012</v>
      </c>
      <c r="C332" t="s">
        <v>1</v>
      </c>
      <c r="D332" t="s">
        <v>3</v>
      </c>
      <c r="E332" t="str">
        <f t="shared" si="10"/>
        <v>良</v>
      </c>
      <c r="F332" s="7">
        <f>IF(A332="","",IF(E332="並","-",HLOOKUP(E332,単価表!$B$1:$D$2,2,FALSE)*B332))</f>
        <v>2414.4</v>
      </c>
      <c r="G332" s="7">
        <f t="shared" si="11"/>
        <v>2450</v>
      </c>
    </row>
    <row r="333" spans="1:7">
      <c r="A333">
        <v>332</v>
      </c>
      <c r="B333">
        <v>1.2010000000000001</v>
      </c>
      <c r="C333" t="s">
        <v>5</v>
      </c>
      <c r="D333" t="s">
        <v>1</v>
      </c>
      <c r="E333" t="str">
        <f t="shared" si="10"/>
        <v>並</v>
      </c>
      <c r="F333" s="7" t="str">
        <f>IF(A333="","",IF(E333="並","-",HLOOKUP(E333,単価表!$B$1:$D$2,2,FALSE)*B333))</f>
        <v>-</v>
      </c>
      <c r="G333" s="7" t="str">
        <f t="shared" si="11"/>
        <v>-</v>
      </c>
    </row>
    <row r="334" spans="1:7">
      <c r="A334">
        <v>333</v>
      </c>
      <c r="B334">
        <v>2.278</v>
      </c>
      <c r="C334" t="s">
        <v>5</v>
      </c>
      <c r="D334" t="s">
        <v>1</v>
      </c>
      <c r="E334" t="str">
        <f t="shared" si="10"/>
        <v>並</v>
      </c>
      <c r="F334" s="7" t="str">
        <f>IF(A334="","",IF(E334="並","-",HLOOKUP(E334,単価表!$B$1:$D$2,2,FALSE)*B334))</f>
        <v>-</v>
      </c>
      <c r="G334" s="7" t="str">
        <f t="shared" si="11"/>
        <v>-</v>
      </c>
    </row>
    <row r="335" spans="1:7">
      <c r="A335">
        <v>334</v>
      </c>
      <c r="B335">
        <v>0.52400000000000002</v>
      </c>
      <c r="C335" t="s">
        <v>1</v>
      </c>
      <c r="D335" t="s">
        <v>5</v>
      </c>
      <c r="E335" t="str">
        <f t="shared" si="10"/>
        <v>並</v>
      </c>
      <c r="F335" s="7" t="str">
        <f>IF(A335="","",IF(E335="並","-",HLOOKUP(E335,単価表!$B$1:$D$2,2,FALSE)*B335))</f>
        <v>-</v>
      </c>
      <c r="G335" s="7" t="str">
        <f t="shared" si="11"/>
        <v>-</v>
      </c>
    </row>
    <row r="336" spans="1:7">
      <c r="A336">
        <v>335</v>
      </c>
      <c r="B336">
        <v>1.2849999999999999</v>
      </c>
      <c r="C336" t="s">
        <v>3</v>
      </c>
      <c r="D336" t="s">
        <v>5</v>
      </c>
      <c r="E336" t="str">
        <f t="shared" si="10"/>
        <v>並</v>
      </c>
      <c r="F336" s="7" t="str">
        <f>IF(A336="","",IF(E336="並","-",HLOOKUP(E336,単価表!$B$1:$D$2,2,FALSE)*B336))</f>
        <v>-</v>
      </c>
      <c r="G336" s="7" t="str">
        <f t="shared" si="11"/>
        <v>-</v>
      </c>
    </row>
    <row r="337" spans="1:7">
      <c r="A337">
        <v>336</v>
      </c>
      <c r="B337">
        <v>1.593</v>
      </c>
      <c r="C337" t="s">
        <v>1</v>
      </c>
      <c r="D337" t="s">
        <v>5</v>
      </c>
      <c r="E337" t="str">
        <f t="shared" si="10"/>
        <v>並</v>
      </c>
      <c r="F337" s="7" t="str">
        <f>IF(A337="","",IF(E337="並","-",HLOOKUP(E337,単価表!$B$1:$D$2,2,FALSE)*B337))</f>
        <v>-</v>
      </c>
      <c r="G337" s="7" t="str">
        <f t="shared" si="11"/>
        <v>-</v>
      </c>
    </row>
    <row r="338" spans="1:7">
      <c r="A338">
        <v>337</v>
      </c>
      <c r="B338">
        <v>1.3129999999999999</v>
      </c>
      <c r="C338" t="s">
        <v>5</v>
      </c>
      <c r="D338" t="s">
        <v>1</v>
      </c>
      <c r="E338" t="str">
        <f t="shared" si="10"/>
        <v>並</v>
      </c>
      <c r="F338" s="7" t="str">
        <f>IF(A338="","",IF(E338="並","-",HLOOKUP(E338,単価表!$B$1:$D$2,2,FALSE)*B338))</f>
        <v>-</v>
      </c>
      <c r="G338" s="7" t="str">
        <f t="shared" si="11"/>
        <v>-</v>
      </c>
    </row>
    <row r="339" spans="1:7">
      <c r="A339">
        <v>338</v>
      </c>
      <c r="B339">
        <v>1.7310000000000001</v>
      </c>
      <c r="C339" t="s">
        <v>1</v>
      </c>
      <c r="D339" t="s">
        <v>5</v>
      </c>
      <c r="E339" t="str">
        <f t="shared" si="10"/>
        <v>並</v>
      </c>
      <c r="F339" s="7" t="str">
        <f>IF(A339="","",IF(E339="並","-",HLOOKUP(E339,単価表!$B$1:$D$2,2,FALSE)*B339))</f>
        <v>-</v>
      </c>
      <c r="G339" s="7" t="str">
        <f t="shared" si="11"/>
        <v>-</v>
      </c>
    </row>
    <row r="340" spans="1:7">
      <c r="A340">
        <v>339</v>
      </c>
      <c r="B340">
        <v>1.63</v>
      </c>
      <c r="C340" t="s">
        <v>5</v>
      </c>
      <c r="D340" t="s">
        <v>3</v>
      </c>
      <c r="E340" t="str">
        <f t="shared" si="10"/>
        <v>並</v>
      </c>
      <c r="F340" s="7" t="str">
        <f>IF(A340="","",IF(E340="並","-",HLOOKUP(E340,単価表!$B$1:$D$2,2,FALSE)*B340))</f>
        <v>-</v>
      </c>
      <c r="G340" s="7" t="str">
        <f t="shared" si="11"/>
        <v>-</v>
      </c>
    </row>
    <row r="341" spans="1:7">
      <c r="A341">
        <v>340</v>
      </c>
      <c r="B341">
        <v>1.6259999999999999</v>
      </c>
      <c r="C341" t="s">
        <v>1</v>
      </c>
      <c r="D341" t="s">
        <v>5</v>
      </c>
      <c r="E341" t="str">
        <f t="shared" si="10"/>
        <v>並</v>
      </c>
      <c r="F341" s="7" t="str">
        <f>IF(A341="","",IF(E341="並","-",HLOOKUP(E341,単価表!$B$1:$D$2,2,FALSE)*B341))</f>
        <v>-</v>
      </c>
      <c r="G341" s="7" t="str">
        <f t="shared" si="11"/>
        <v>-</v>
      </c>
    </row>
    <row r="342" spans="1:7">
      <c r="A342">
        <v>341</v>
      </c>
      <c r="B342">
        <v>1.671</v>
      </c>
      <c r="C342" t="s">
        <v>3</v>
      </c>
      <c r="D342" t="s">
        <v>5</v>
      </c>
      <c r="E342" t="str">
        <f t="shared" si="10"/>
        <v>並</v>
      </c>
      <c r="F342" s="7" t="str">
        <f>IF(A342="","",IF(E342="並","-",HLOOKUP(E342,単価表!$B$1:$D$2,2,FALSE)*B342))</f>
        <v>-</v>
      </c>
      <c r="G342" s="7" t="str">
        <f t="shared" si="11"/>
        <v>-</v>
      </c>
    </row>
    <row r="343" spans="1:7">
      <c r="A343">
        <v>342</v>
      </c>
      <c r="B343">
        <v>2.2360000000000002</v>
      </c>
      <c r="C343" t="s">
        <v>5</v>
      </c>
      <c r="D343" t="s">
        <v>1</v>
      </c>
      <c r="E343" t="str">
        <f t="shared" si="10"/>
        <v>並</v>
      </c>
      <c r="F343" s="7" t="str">
        <f>IF(A343="","",IF(E343="並","-",HLOOKUP(E343,単価表!$B$1:$D$2,2,FALSE)*B343))</f>
        <v>-</v>
      </c>
      <c r="G343" s="7" t="str">
        <f t="shared" si="11"/>
        <v>-</v>
      </c>
    </row>
    <row r="344" spans="1:7">
      <c r="A344">
        <v>343</v>
      </c>
      <c r="B344">
        <v>2.1339999999999999</v>
      </c>
      <c r="C344" t="s">
        <v>3</v>
      </c>
      <c r="D344" t="s">
        <v>5</v>
      </c>
      <c r="E344" t="str">
        <f t="shared" si="10"/>
        <v>並</v>
      </c>
      <c r="F344" s="7" t="str">
        <f>IF(A344="","",IF(E344="並","-",HLOOKUP(E344,単価表!$B$1:$D$2,2,FALSE)*B344))</f>
        <v>-</v>
      </c>
      <c r="G344" s="7" t="str">
        <f t="shared" si="11"/>
        <v>-</v>
      </c>
    </row>
    <row r="345" spans="1:7">
      <c r="A345">
        <v>344</v>
      </c>
      <c r="B345">
        <v>1.8779999999999999</v>
      </c>
      <c r="C345" t="s">
        <v>3</v>
      </c>
      <c r="D345" t="s">
        <v>5</v>
      </c>
      <c r="E345" t="str">
        <f t="shared" si="10"/>
        <v>並</v>
      </c>
      <c r="F345" s="7" t="str">
        <f>IF(A345="","",IF(E345="並","-",HLOOKUP(E345,単価表!$B$1:$D$2,2,FALSE)*B345))</f>
        <v>-</v>
      </c>
      <c r="G345" s="7" t="str">
        <f t="shared" si="11"/>
        <v>-</v>
      </c>
    </row>
    <row r="346" spans="1:7">
      <c r="A346">
        <v>345</v>
      </c>
      <c r="B346">
        <v>0.68100000000000005</v>
      </c>
      <c r="C346" t="s">
        <v>5</v>
      </c>
      <c r="D346" t="s">
        <v>3</v>
      </c>
      <c r="E346" t="str">
        <f t="shared" si="10"/>
        <v>並</v>
      </c>
      <c r="F346" s="7" t="str">
        <f>IF(A346="","",IF(E346="並","-",HLOOKUP(E346,単価表!$B$1:$D$2,2,FALSE)*B346))</f>
        <v>-</v>
      </c>
      <c r="G346" s="7" t="str">
        <f t="shared" si="11"/>
        <v>-</v>
      </c>
    </row>
    <row r="347" spans="1:7">
      <c r="A347">
        <v>346</v>
      </c>
      <c r="B347">
        <v>2.5150000000000001</v>
      </c>
      <c r="C347" t="s">
        <v>1</v>
      </c>
      <c r="D347" t="s">
        <v>3</v>
      </c>
      <c r="E347" t="str">
        <f t="shared" si="10"/>
        <v>良</v>
      </c>
      <c r="F347" s="7">
        <f>IF(A347="","",IF(E347="並","-",HLOOKUP(E347,単価表!$B$1:$D$2,2,FALSE)*B347))</f>
        <v>3018</v>
      </c>
      <c r="G347" s="7">
        <f t="shared" si="11"/>
        <v>3050</v>
      </c>
    </row>
    <row r="348" spans="1:7">
      <c r="A348">
        <v>347</v>
      </c>
      <c r="B348">
        <v>2.5</v>
      </c>
      <c r="C348" t="s">
        <v>5</v>
      </c>
      <c r="D348" t="s">
        <v>1</v>
      </c>
      <c r="E348" t="str">
        <f t="shared" si="10"/>
        <v>並</v>
      </c>
      <c r="F348" s="7" t="str">
        <f>IF(A348="","",IF(E348="並","-",HLOOKUP(E348,単価表!$B$1:$D$2,2,FALSE)*B348))</f>
        <v>-</v>
      </c>
      <c r="G348" s="7" t="str">
        <f t="shared" si="11"/>
        <v>-</v>
      </c>
    </row>
    <row r="349" spans="1:7">
      <c r="A349">
        <v>348</v>
      </c>
      <c r="B349">
        <v>1.1200000000000001</v>
      </c>
      <c r="C349" t="s">
        <v>5</v>
      </c>
      <c r="D349" t="s">
        <v>1</v>
      </c>
      <c r="E349" t="str">
        <f t="shared" si="10"/>
        <v>並</v>
      </c>
      <c r="F349" s="7" t="str">
        <f>IF(A349="","",IF(E349="並","-",HLOOKUP(E349,単価表!$B$1:$D$2,2,FALSE)*B349))</f>
        <v>-</v>
      </c>
      <c r="G349" s="7" t="str">
        <f t="shared" si="11"/>
        <v>-</v>
      </c>
    </row>
    <row r="350" spans="1:7">
      <c r="A350">
        <v>349</v>
      </c>
      <c r="B350">
        <v>2.38</v>
      </c>
      <c r="C350" t="s">
        <v>1</v>
      </c>
      <c r="D350" t="s">
        <v>3</v>
      </c>
      <c r="E350" t="str">
        <f t="shared" si="10"/>
        <v>良</v>
      </c>
      <c r="F350" s="7">
        <f>IF(A350="","",IF(E350="並","-",HLOOKUP(E350,単価表!$B$1:$D$2,2,FALSE)*B350))</f>
        <v>2856</v>
      </c>
      <c r="G350" s="7">
        <f t="shared" si="11"/>
        <v>2900</v>
      </c>
    </row>
    <row r="351" spans="1:7">
      <c r="A351">
        <v>350</v>
      </c>
      <c r="B351">
        <v>1.3009999999999999</v>
      </c>
      <c r="C351" t="s">
        <v>1</v>
      </c>
      <c r="D351" t="s">
        <v>5</v>
      </c>
      <c r="E351" t="str">
        <f t="shared" si="10"/>
        <v>並</v>
      </c>
      <c r="F351" s="7" t="str">
        <f>IF(A351="","",IF(E351="並","-",HLOOKUP(E351,単価表!$B$1:$D$2,2,FALSE)*B351))</f>
        <v>-</v>
      </c>
      <c r="G351" s="7" t="str">
        <f t="shared" si="11"/>
        <v>-</v>
      </c>
    </row>
    <row r="352" spans="1:7">
      <c r="A352">
        <v>351</v>
      </c>
      <c r="B352">
        <v>0.67400000000000004</v>
      </c>
      <c r="C352" t="s">
        <v>1</v>
      </c>
      <c r="D352" t="s">
        <v>5</v>
      </c>
      <c r="E352" t="str">
        <f t="shared" si="10"/>
        <v>並</v>
      </c>
      <c r="F352" s="7" t="str">
        <f>IF(A352="","",IF(E352="並","-",HLOOKUP(E352,単価表!$B$1:$D$2,2,FALSE)*B352))</f>
        <v>-</v>
      </c>
      <c r="G352" s="7" t="str">
        <f t="shared" si="11"/>
        <v>-</v>
      </c>
    </row>
    <row r="353" spans="1:7">
      <c r="A353">
        <v>352</v>
      </c>
      <c r="B353">
        <v>2.0179999999999998</v>
      </c>
      <c r="C353" t="s">
        <v>3</v>
      </c>
      <c r="D353" t="s">
        <v>1</v>
      </c>
      <c r="E353" t="str">
        <f t="shared" si="10"/>
        <v>良</v>
      </c>
      <c r="F353" s="7">
        <f>IF(A353="","",IF(E353="並","-",HLOOKUP(E353,単価表!$B$1:$D$2,2,FALSE)*B353))</f>
        <v>2421.6</v>
      </c>
      <c r="G353" s="7">
        <f t="shared" si="11"/>
        <v>2450</v>
      </c>
    </row>
    <row r="354" spans="1:7">
      <c r="A354">
        <v>353</v>
      </c>
      <c r="B354">
        <v>1.4630000000000001</v>
      </c>
      <c r="C354" t="s">
        <v>5</v>
      </c>
      <c r="D354" t="s">
        <v>1</v>
      </c>
      <c r="E354" t="str">
        <f t="shared" si="10"/>
        <v>並</v>
      </c>
      <c r="F354" s="7" t="str">
        <f>IF(A354="","",IF(E354="並","-",HLOOKUP(E354,単価表!$B$1:$D$2,2,FALSE)*B354))</f>
        <v>-</v>
      </c>
      <c r="G354" s="7" t="str">
        <f t="shared" si="11"/>
        <v>-</v>
      </c>
    </row>
    <row r="355" spans="1:7">
      <c r="A355">
        <v>354</v>
      </c>
      <c r="B355">
        <v>1.6739999999999999</v>
      </c>
      <c r="C355" t="s">
        <v>3</v>
      </c>
      <c r="D355" t="s">
        <v>5</v>
      </c>
      <c r="E355" t="str">
        <f t="shared" si="10"/>
        <v>並</v>
      </c>
      <c r="F355" s="7" t="str">
        <f>IF(A355="","",IF(E355="並","-",HLOOKUP(E355,単価表!$B$1:$D$2,2,FALSE)*B355))</f>
        <v>-</v>
      </c>
      <c r="G355" s="7" t="str">
        <f t="shared" si="11"/>
        <v>-</v>
      </c>
    </row>
    <row r="356" spans="1:7">
      <c r="A356">
        <v>355</v>
      </c>
      <c r="B356">
        <v>0.61299999999999999</v>
      </c>
      <c r="C356" t="s">
        <v>5</v>
      </c>
      <c r="D356" t="s">
        <v>5</v>
      </c>
      <c r="E356" t="str">
        <f t="shared" si="10"/>
        <v>並</v>
      </c>
      <c r="F356" s="7" t="str">
        <f>IF(A356="","",IF(E356="並","-",HLOOKUP(E356,単価表!$B$1:$D$2,2,FALSE)*B356))</f>
        <v>-</v>
      </c>
      <c r="G356" s="7" t="str">
        <f t="shared" si="11"/>
        <v>-</v>
      </c>
    </row>
    <row r="357" spans="1:7">
      <c r="A357">
        <v>356</v>
      </c>
      <c r="B357">
        <v>1.6830000000000001</v>
      </c>
      <c r="C357" t="s">
        <v>5</v>
      </c>
      <c r="D357" t="s">
        <v>3</v>
      </c>
      <c r="E357" t="str">
        <f t="shared" si="10"/>
        <v>並</v>
      </c>
      <c r="F357" s="7" t="str">
        <f>IF(A357="","",IF(E357="並","-",HLOOKUP(E357,単価表!$B$1:$D$2,2,FALSE)*B357))</f>
        <v>-</v>
      </c>
      <c r="G357" s="7" t="str">
        <f t="shared" si="11"/>
        <v>-</v>
      </c>
    </row>
    <row r="358" spans="1:7">
      <c r="A358">
        <v>357</v>
      </c>
      <c r="B358">
        <v>0.55300000000000005</v>
      </c>
      <c r="C358" t="s">
        <v>3</v>
      </c>
      <c r="D358" t="s">
        <v>1</v>
      </c>
      <c r="E358" t="str">
        <f t="shared" si="10"/>
        <v>良</v>
      </c>
      <c r="F358" s="7">
        <f>IF(A358="","",IF(E358="並","-",HLOOKUP(E358,単価表!$B$1:$D$2,2,FALSE)*B358))</f>
        <v>663.6</v>
      </c>
      <c r="G358" s="7">
        <f t="shared" si="11"/>
        <v>700</v>
      </c>
    </row>
    <row r="359" spans="1:7">
      <c r="A359">
        <v>358</v>
      </c>
      <c r="B359">
        <v>1.343</v>
      </c>
      <c r="C359" t="s">
        <v>5</v>
      </c>
      <c r="D359" t="s">
        <v>5</v>
      </c>
      <c r="E359" t="str">
        <f t="shared" si="10"/>
        <v>並</v>
      </c>
      <c r="F359" s="7" t="str">
        <f>IF(A359="","",IF(E359="並","-",HLOOKUP(E359,単価表!$B$1:$D$2,2,FALSE)*B359))</f>
        <v>-</v>
      </c>
      <c r="G359" s="7" t="str">
        <f t="shared" si="11"/>
        <v>-</v>
      </c>
    </row>
    <row r="360" spans="1:7">
      <c r="A360">
        <v>359</v>
      </c>
      <c r="B360">
        <v>2.024</v>
      </c>
      <c r="C360" t="s">
        <v>1</v>
      </c>
      <c r="D360" t="s">
        <v>1</v>
      </c>
      <c r="E360" t="str">
        <f t="shared" si="10"/>
        <v>優</v>
      </c>
      <c r="F360" s="7">
        <f>IF(A360="","",IF(E360="並","-",HLOOKUP(E360,単価表!$B$1:$D$2,2,FALSE)*B360))</f>
        <v>3036</v>
      </c>
      <c r="G360" s="7">
        <f t="shared" si="11"/>
        <v>3050</v>
      </c>
    </row>
    <row r="361" spans="1:7">
      <c r="A361">
        <v>360</v>
      </c>
      <c r="B361">
        <v>1.7130000000000001</v>
      </c>
      <c r="C361" t="s">
        <v>1</v>
      </c>
      <c r="D361" t="s">
        <v>3</v>
      </c>
      <c r="E361" t="str">
        <f t="shared" si="10"/>
        <v>良</v>
      </c>
      <c r="F361" s="7">
        <f>IF(A361="","",IF(E361="並","-",HLOOKUP(E361,単価表!$B$1:$D$2,2,FALSE)*B361))</f>
        <v>2055.6</v>
      </c>
      <c r="G361" s="7">
        <f t="shared" si="11"/>
        <v>2100</v>
      </c>
    </row>
    <row r="362" spans="1:7">
      <c r="A362">
        <v>361</v>
      </c>
      <c r="B362">
        <v>1.3859999999999999</v>
      </c>
      <c r="C362" t="s">
        <v>3</v>
      </c>
      <c r="D362" t="s">
        <v>5</v>
      </c>
      <c r="E362" t="str">
        <f t="shared" si="10"/>
        <v>並</v>
      </c>
      <c r="F362" s="7" t="str">
        <f>IF(A362="","",IF(E362="並","-",HLOOKUP(E362,単価表!$B$1:$D$2,2,FALSE)*B362))</f>
        <v>-</v>
      </c>
      <c r="G362" s="7" t="str">
        <f t="shared" si="11"/>
        <v>-</v>
      </c>
    </row>
    <row r="363" spans="1:7">
      <c r="A363">
        <v>362</v>
      </c>
      <c r="B363">
        <v>2.8130000000000002</v>
      </c>
      <c r="C363" t="s">
        <v>5</v>
      </c>
      <c r="D363" t="s">
        <v>5</v>
      </c>
      <c r="E363" t="str">
        <f t="shared" si="10"/>
        <v>並</v>
      </c>
      <c r="F363" s="7" t="str">
        <f>IF(A363="","",IF(E363="並","-",HLOOKUP(E363,単価表!$B$1:$D$2,2,FALSE)*B363))</f>
        <v>-</v>
      </c>
      <c r="G363" s="7" t="str">
        <f t="shared" si="11"/>
        <v>-</v>
      </c>
    </row>
    <row r="364" spans="1:7">
      <c r="A364">
        <v>363</v>
      </c>
      <c r="B364">
        <v>0.65200000000000002</v>
      </c>
      <c r="C364" t="s">
        <v>5</v>
      </c>
      <c r="D364" t="s">
        <v>3</v>
      </c>
      <c r="E364" t="str">
        <f t="shared" si="10"/>
        <v>並</v>
      </c>
      <c r="F364" s="7" t="str">
        <f>IF(A364="","",IF(E364="並","-",HLOOKUP(E364,単価表!$B$1:$D$2,2,FALSE)*B364))</f>
        <v>-</v>
      </c>
      <c r="G364" s="7" t="str">
        <f t="shared" si="11"/>
        <v>-</v>
      </c>
    </row>
    <row r="365" spans="1:7">
      <c r="A365">
        <v>364</v>
      </c>
      <c r="B365">
        <v>1.3959999999999999</v>
      </c>
      <c r="C365" t="s">
        <v>1</v>
      </c>
      <c r="D365" t="s">
        <v>5</v>
      </c>
      <c r="E365" t="str">
        <f t="shared" si="10"/>
        <v>並</v>
      </c>
      <c r="F365" s="7" t="str">
        <f>IF(A365="","",IF(E365="並","-",HLOOKUP(E365,単価表!$B$1:$D$2,2,FALSE)*B365))</f>
        <v>-</v>
      </c>
      <c r="G365" s="7" t="str">
        <f t="shared" si="11"/>
        <v>-</v>
      </c>
    </row>
    <row r="366" spans="1:7">
      <c r="A366">
        <v>365</v>
      </c>
      <c r="B366">
        <v>2.9550000000000001</v>
      </c>
      <c r="C366" t="s">
        <v>5</v>
      </c>
      <c r="D366" t="s">
        <v>1</v>
      </c>
      <c r="E366" t="str">
        <f t="shared" si="10"/>
        <v>並</v>
      </c>
      <c r="F366" s="7" t="str">
        <f>IF(A366="","",IF(E366="並","-",HLOOKUP(E366,単価表!$B$1:$D$2,2,FALSE)*B366))</f>
        <v>-</v>
      </c>
      <c r="G366" s="7" t="str">
        <f t="shared" si="11"/>
        <v>-</v>
      </c>
    </row>
    <row r="367" spans="1:7">
      <c r="A367">
        <v>366</v>
      </c>
      <c r="B367">
        <v>2.6389999999999998</v>
      </c>
      <c r="C367" t="s">
        <v>3</v>
      </c>
      <c r="D367" t="s">
        <v>5</v>
      </c>
      <c r="E367" t="str">
        <f t="shared" si="10"/>
        <v>並</v>
      </c>
      <c r="F367" s="7" t="str">
        <f>IF(A367="","",IF(E367="並","-",HLOOKUP(E367,単価表!$B$1:$D$2,2,FALSE)*B367))</f>
        <v>-</v>
      </c>
      <c r="G367" s="7" t="str">
        <f t="shared" si="11"/>
        <v>-</v>
      </c>
    </row>
    <row r="368" spans="1:7">
      <c r="A368">
        <v>367</v>
      </c>
      <c r="B368">
        <v>2.1640000000000001</v>
      </c>
      <c r="C368" t="s">
        <v>1</v>
      </c>
      <c r="D368" t="s">
        <v>1</v>
      </c>
      <c r="E368" t="str">
        <f t="shared" si="10"/>
        <v>優</v>
      </c>
      <c r="F368" s="7">
        <f>IF(A368="","",IF(E368="並","-",HLOOKUP(E368,単価表!$B$1:$D$2,2,FALSE)*B368))</f>
        <v>3246</v>
      </c>
      <c r="G368" s="7">
        <f t="shared" si="11"/>
        <v>3250</v>
      </c>
    </row>
    <row r="369" spans="1:7">
      <c r="A369">
        <v>368</v>
      </c>
      <c r="B369">
        <v>2.0760000000000001</v>
      </c>
      <c r="C369" t="s">
        <v>3</v>
      </c>
      <c r="D369" t="s">
        <v>1</v>
      </c>
      <c r="E369" t="str">
        <f t="shared" si="10"/>
        <v>良</v>
      </c>
      <c r="F369" s="7">
        <f>IF(A369="","",IF(E369="並","-",HLOOKUP(E369,単価表!$B$1:$D$2,2,FALSE)*B369))</f>
        <v>2491.2000000000003</v>
      </c>
      <c r="G369" s="7">
        <f t="shared" si="11"/>
        <v>2500</v>
      </c>
    </row>
    <row r="370" spans="1:7">
      <c r="A370">
        <v>369</v>
      </c>
      <c r="B370">
        <v>2.464</v>
      </c>
      <c r="C370" t="s">
        <v>1</v>
      </c>
      <c r="D370" t="s">
        <v>3</v>
      </c>
      <c r="E370" t="str">
        <f t="shared" si="10"/>
        <v>良</v>
      </c>
      <c r="F370" s="7">
        <f>IF(A370="","",IF(E370="並","-",HLOOKUP(E370,単価表!$B$1:$D$2,2,FALSE)*B370))</f>
        <v>2956.8</v>
      </c>
      <c r="G370" s="7">
        <f t="shared" si="11"/>
        <v>3000</v>
      </c>
    </row>
    <row r="371" spans="1:7">
      <c r="A371">
        <v>370</v>
      </c>
      <c r="B371">
        <v>1.66</v>
      </c>
      <c r="C371" t="s">
        <v>3</v>
      </c>
      <c r="D371" t="s">
        <v>3</v>
      </c>
      <c r="E371" t="str">
        <f t="shared" si="10"/>
        <v>良</v>
      </c>
      <c r="F371" s="7">
        <f>IF(A371="","",IF(E371="並","-",HLOOKUP(E371,単価表!$B$1:$D$2,2,FALSE)*B371))</f>
        <v>1992</v>
      </c>
      <c r="G371" s="7">
        <f t="shared" si="11"/>
        <v>2000</v>
      </c>
    </row>
    <row r="372" spans="1:7">
      <c r="A372">
        <v>371</v>
      </c>
      <c r="B372">
        <v>2.157</v>
      </c>
      <c r="C372" t="s">
        <v>3</v>
      </c>
      <c r="D372" t="s">
        <v>5</v>
      </c>
      <c r="E372" t="str">
        <f t="shared" si="10"/>
        <v>並</v>
      </c>
      <c r="F372" s="7" t="str">
        <f>IF(A372="","",IF(E372="並","-",HLOOKUP(E372,単価表!$B$1:$D$2,2,FALSE)*B372))</f>
        <v>-</v>
      </c>
      <c r="G372" s="7" t="str">
        <f t="shared" si="11"/>
        <v>-</v>
      </c>
    </row>
    <row r="373" spans="1:7">
      <c r="A373">
        <v>372</v>
      </c>
      <c r="B373">
        <v>1.482</v>
      </c>
      <c r="C373" t="s">
        <v>1</v>
      </c>
      <c r="D373" t="s">
        <v>5</v>
      </c>
      <c r="E373" t="str">
        <f t="shared" si="10"/>
        <v>並</v>
      </c>
      <c r="F373" s="7" t="str">
        <f>IF(A373="","",IF(E373="並","-",HLOOKUP(E373,単価表!$B$1:$D$2,2,FALSE)*B373))</f>
        <v>-</v>
      </c>
      <c r="G373" s="7" t="str">
        <f t="shared" si="11"/>
        <v>-</v>
      </c>
    </row>
    <row r="374" spans="1:7">
      <c r="A374">
        <v>373</v>
      </c>
      <c r="B374">
        <v>2.6659999999999999</v>
      </c>
      <c r="C374" t="s">
        <v>5</v>
      </c>
      <c r="D374" t="s">
        <v>5</v>
      </c>
      <c r="E374" t="str">
        <f t="shared" si="10"/>
        <v>並</v>
      </c>
      <c r="F374" s="7" t="str">
        <f>IF(A374="","",IF(E374="並","-",HLOOKUP(E374,単価表!$B$1:$D$2,2,FALSE)*B374))</f>
        <v>-</v>
      </c>
      <c r="G374" s="7" t="str">
        <f t="shared" si="11"/>
        <v>-</v>
      </c>
    </row>
    <row r="375" spans="1:7">
      <c r="A375">
        <v>374</v>
      </c>
      <c r="B375">
        <v>2.6629999999999998</v>
      </c>
      <c r="C375" t="s">
        <v>3</v>
      </c>
      <c r="D375" t="s">
        <v>3</v>
      </c>
      <c r="E375" t="str">
        <f t="shared" si="10"/>
        <v>良</v>
      </c>
      <c r="F375" s="7">
        <f>IF(A375="","",IF(E375="並","-",HLOOKUP(E375,単価表!$B$1:$D$2,2,FALSE)*B375))</f>
        <v>3195.6</v>
      </c>
      <c r="G375" s="7">
        <f t="shared" si="11"/>
        <v>3200</v>
      </c>
    </row>
    <row r="376" spans="1:7">
      <c r="A376">
        <v>375</v>
      </c>
      <c r="B376">
        <v>1.1259999999999999</v>
      </c>
      <c r="C376" t="s">
        <v>1</v>
      </c>
      <c r="D376" t="s">
        <v>5</v>
      </c>
      <c r="E376" t="str">
        <f t="shared" si="10"/>
        <v>並</v>
      </c>
      <c r="F376" s="7" t="str">
        <f>IF(A376="","",IF(E376="並","-",HLOOKUP(E376,単価表!$B$1:$D$2,2,FALSE)*B376))</f>
        <v>-</v>
      </c>
      <c r="G376" s="7" t="str">
        <f t="shared" si="11"/>
        <v>-</v>
      </c>
    </row>
    <row r="377" spans="1:7">
      <c r="A377">
        <v>376</v>
      </c>
      <c r="B377">
        <v>2.1019999999999999</v>
      </c>
      <c r="C377" t="s">
        <v>3</v>
      </c>
      <c r="D377" t="s">
        <v>1</v>
      </c>
      <c r="E377" t="str">
        <f t="shared" si="10"/>
        <v>良</v>
      </c>
      <c r="F377" s="7">
        <f>IF(A377="","",IF(E377="並","-",HLOOKUP(E377,単価表!$B$1:$D$2,2,FALSE)*B377))</f>
        <v>2522.3999999999996</v>
      </c>
      <c r="G377" s="7">
        <f t="shared" si="11"/>
        <v>2550</v>
      </c>
    </row>
    <row r="378" spans="1:7">
      <c r="A378">
        <v>377</v>
      </c>
      <c r="B378">
        <v>0.90500000000000003</v>
      </c>
      <c r="C378" t="s">
        <v>3</v>
      </c>
      <c r="D378" t="s">
        <v>1</v>
      </c>
      <c r="E378" t="str">
        <f t="shared" si="10"/>
        <v>良</v>
      </c>
      <c r="F378" s="7">
        <f>IF(A378="","",IF(E378="並","-",HLOOKUP(E378,単価表!$B$1:$D$2,2,FALSE)*B378))</f>
        <v>1086</v>
      </c>
      <c r="G378" s="7">
        <f t="shared" si="11"/>
        <v>1100</v>
      </c>
    </row>
    <row r="379" spans="1:7">
      <c r="A379">
        <v>378</v>
      </c>
      <c r="B379">
        <v>0.70199999999999996</v>
      </c>
      <c r="C379" t="s">
        <v>1</v>
      </c>
      <c r="D379" t="s">
        <v>3</v>
      </c>
      <c r="E379" t="str">
        <f t="shared" si="10"/>
        <v>良</v>
      </c>
      <c r="F379" s="7">
        <f>IF(A379="","",IF(E379="並","-",HLOOKUP(E379,単価表!$B$1:$D$2,2,FALSE)*B379))</f>
        <v>842.4</v>
      </c>
      <c r="G379" s="7">
        <f t="shared" si="11"/>
        <v>850</v>
      </c>
    </row>
    <row r="380" spans="1:7">
      <c r="A380">
        <v>379</v>
      </c>
      <c r="B380">
        <v>0.55400000000000005</v>
      </c>
      <c r="C380" t="s">
        <v>1</v>
      </c>
      <c r="D380" t="s">
        <v>3</v>
      </c>
      <c r="E380" t="str">
        <f t="shared" si="10"/>
        <v>良</v>
      </c>
      <c r="F380" s="7">
        <f>IF(A380="","",IF(E380="並","-",HLOOKUP(E380,単価表!$B$1:$D$2,2,FALSE)*B380))</f>
        <v>664.80000000000007</v>
      </c>
      <c r="G380" s="7">
        <f t="shared" si="11"/>
        <v>700</v>
      </c>
    </row>
    <row r="381" spans="1:7">
      <c r="A381">
        <v>380</v>
      </c>
      <c r="B381">
        <v>2.472</v>
      </c>
      <c r="C381" t="s">
        <v>3</v>
      </c>
      <c r="D381" t="s">
        <v>3</v>
      </c>
      <c r="E381" t="str">
        <f t="shared" si="10"/>
        <v>良</v>
      </c>
      <c r="F381" s="7">
        <f>IF(A381="","",IF(E381="並","-",HLOOKUP(E381,単価表!$B$1:$D$2,2,FALSE)*B381))</f>
        <v>2966.4</v>
      </c>
      <c r="G381" s="7">
        <f t="shared" si="11"/>
        <v>3000</v>
      </c>
    </row>
    <row r="382" spans="1:7">
      <c r="A382">
        <v>381</v>
      </c>
      <c r="B382">
        <v>2.3149999999999999</v>
      </c>
      <c r="C382" t="s">
        <v>5</v>
      </c>
      <c r="D382" t="s">
        <v>5</v>
      </c>
      <c r="E382" t="str">
        <f t="shared" si="10"/>
        <v>並</v>
      </c>
      <c r="F382" s="7" t="str">
        <f>IF(A382="","",IF(E382="並","-",HLOOKUP(E382,単価表!$B$1:$D$2,2,FALSE)*B382))</f>
        <v>-</v>
      </c>
      <c r="G382" s="7" t="str">
        <f t="shared" si="11"/>
        <v>-</v>
      </c>
    </row>
    <row r="383" spans="1:7">
      <c r="A383">
        <v>382</v>
      </c>
      <c r="B383">
        <v>1.702</v>
      </c>
      <c r="C383" t="s">
        <v>1</v>
      </c>
      <c r="D383" t="s">
        <v>1</v>
      </c>
      <c r="E383" t="str">
        <f t="shared" si="10"/>
        <v>優</v>
      </c>
      <c r="F383" s="7">
        <f>IF(A383="","",IF(E383="並","-",HLOOKUP(E383,単価表!$B$1:$D$2,2,FALSE)*B383))</f>
        <v>2553</v>
      </c>
      <c r="G383" s="7">
        <f t="shared" si="11"/>
        <v>2600</v>
      </c>
    </row>
    <row r="384" spans="1:7">
      <c r="A384">
        <v>383</v>
      </c>
      <c r="B384">
        <v>1.3280000000000001</v>
      </c>
      <c r="C384" t="s">
        <v>3</v>
      </c>
      <c r="D384" t="s">
        <v>3</v>
      </c>
      <c r="E384" t="str">
        <f t="shared" si="10"/>
        <v>良</v>
      </c>
      <c r="F384" s="7">
        <f>IF(A384="","",IF(E384="並","-",HLOOKUP(E384,単価表!$B$1:$D$2,2,FALSE)*B384))</f>
        <v>1593.6000000000001</v>
      </c>
      <c r="G384" s="7">
        <f t="shared" si="11"/>
        <v>1600</v>
      </c>
    </row>
    <row r="385" spans="1:7">
      <c r="A385">
        <v>384</v>
      </c>
      <c r="B385">
        <v>1.657</v>
      </c>
      <c r="C385" t="s">
        <v>3</v>
      </c>
      <c r="D385" t="s">
        <v>5</v>
      </c>
      <c r="E385" t="str">
        <f t="shared" si="10"/>
        <v>並</v>
      </c>
      <c r="F385" s="7" t="str">
        <f>IF(A385="","",IF(E385="並","-",HLOOKUP(E385,単価表!$B$1:$D$2,2,FALSE)*B385))</f>
        <v>-</v>
      </c>
      <c r="G385" s="7" t="str">
        <f t="shared" si="11"/>
        <v>-</v>
      </c>
    </row>
    <row r="386" spans="1:7">
      <c r="A386">
        <v>385</v>
      </c>
      <c r="B386">
        <v>2.4079999999999999</v>
      </c>
      <c r="C386" t="s">
        <v>3</v>
      </c>
      <c r="D386" t="s">
        <v>3</v>
      </c>
      <c r="E386" t="str">
        <f t="shared" si="10"/>
        <v>良</v>
      </c>
      <c r="F386" s="7">
        <f>IF(A386="","",IF(E386="並","-",HLOOKUP(E386,単価表!$B$1:$D$2,2,FALSE)*B386))</f>
        <v>2889.6</v>
      </c>
      <c r="G386" s="7">
        <f t="shared" si="11"/>
        <v>2900</v>
      </c>
    </row>
    <row r="387" spans="1:7">
      <c r="A387">
        <v>386</v>
      </c>
      <c r="B387">
        <v>2.6920000000000002</v>
      </c>
      <c r="C387" t="s">
        <v>3</v>
      </c>
      <c r="D387" t="s">
        <v>5</v>
      </c>
      <c r="E387" t="str">
        <f t="shared" ref="E387:E450" si="12">IF(A387="","",IF(OR(C387="並",D387="並"),"並",IF(OR(C387="良",D387="良"),"良","優")))</f>
        <v>並</v>
      </c>
      <c r="F387" s="7" t="str">
        <f>IF(A387="","",IF(E387="並","-",HLOOKUP(E387,単価表!$B$1:$D$2,2,FALSE)*B387))</f>
        <v>-</v>
      </c>
      <c r="G387" s="7" t="str">
        <f t="shared" si="11"/>
        <v>-</v>
      </c>
    </row>
    <row r="388" spans="1:7">
      <c r="A388">
        <v>387</v>
      </c>
      <c r="B388">
        <v>1.6040000000000001</v>
      </c>
      <c r="C388" t="s">
        <v>5</v>
      </c>
      <c r="D388" t="s">
        <v>1</v>
      </c>
      <c r="E388" t="str">
        <f t="shared" si="12"/>
        <v>並</v>
      </c>
      <c r="F388" s="7" t="str">
        <f>IF(A388="","",IF(E388="並","-",HLOOKUP(E388,単価表!$B$1:$D$2,2,FALSE)*B388))</f>
        <v>-</v>
      </c>
      <c r="G388" s="7" t="str">
        <f t="shared" ref="G388:G451" si="13">IF(A388="","",IF(E388="並","-",ROUNDUP(F388/50,0)*50))</f>
        <v>-</v>
      </c>
    </row>
    <row r="389" spans="1:7">
      <c r="A389">
        <v>388</v>
      </c>
      <c r="B389">
        <v>1.528</v>
      </c>
      <c r="C389" t="s">
        <v>3</v>
      </c>
      <c r="D389" t="s">
        <v>3</v>
      </c>
      <c r="E389" t="str">
        <f t="shared" si="12"/>
        <v>良</v>
      </c>
      <c r="F389" s="7">
        <f>IF(A389="","",IF(E389="並","-",HLOOKUP(E389,単価表!$B$1:$D$2,2,FALSE)*B389))</f>
        <v>1833.6000000000001</v>
      </c>
      <c r="G389" s="7">
        <f t="shared" si="13"/>
        <v>1850</v>
      </c>
    </row>
    <row r="390" spans="1:7">
      <c r="A390">
        <v>389</v>
      </c>
      <c r="B390">
        <v>2.3839999999999999</v>
      </c>
      <c r="C390" t="s">
        <v>1</v>
      </c>
      <c r="D390" t="s">
        <v>5</v>
      </c>
      <c r="E390" t="str">
        <f t="shared" si="12"/>
        <v>並</v>
      </c>
      <c r="F390" s="7" t="str">
        <f>IF(A390="","",IF(E390="並","-",HLOOKUP(E390,単価表!$B$1:$D$2,2,FALSE)*B390))</f>
        <v>-</v>
      </c>
      <c r="G390" s="7" t="str">
        <f t="shared" si="13"/>
        <v>-</v>
      </c>
    </row>
    <row r="391" spans="1:7">
      <c r="A391">
        <v>390</v>
      </c>
      <c r="B391">
        <v>1.3340000000000001</v>
      </c>
      <c r="C391" t="s">
        <v>5</v>
      </c>
      <c r="D391" t="s">
        <v>1</v>
      </c>
      <c r="E391" t="str">
        <f t="shared" si="12"/>
        <v>並</v>
      </c>
      <c r="F391" s="7" t="str">
        <f>IF(A391="","",IF(E391="並","-",HLOOKUP(E391,単価表!$B$1:$D$2,2,FALSE)*B391))</f>
        <v>-</v>
      </c>
      <c r="G391" s="7" t="str">
        <f t="shared" si="13"/>
        <v>-</v>
      </c>
    </row>
    <row r="392" spans="1:7">
      <c r="A392">
        <v>391</v>
      </c>
      <c r="B392">
        <v>1.9379999999999999</v>
      </c>
      <c r="C392" t="s">
        <v>5</v>
      </c>
      <c r="D392" t="s">
        <v>3</v>
      </c>
      <c r="E392" t="str">
        <f t="shared" si="12"/>
        <v>並</v>
      </c>
      <c r="F392" s="7" t="str">
        <f>IF(A392="","",IF(E392="並","-",HLOOKUP(E392,単価表!$B$1:$D$2,2,FALSE)*B392))</f>
        <v>-</v>
      </c>
      <c r="G392" s="7" t="str">
        <f t="shared" si="13"/>
        <v>-</v>
      </c>
    </row>
    <row r="393" spans="1:7">
      <c r="A393">
        <v>392</v>
      </c>
      <c r="B393">
        <v>2.4969999999999999</v>
      </c>
      <c r="C393" t="s">
        <v>3</v>
      </c>
      <c r="D393" t="s">
        <v>5</v>
      </c>
      <c r="E393" t="str">
        <f t="shared" si="12"/>
        <v>並</v>
      </c>
      <c r="F393" s="7" t="str">
        <f>IF(A393="","",IF(E393="並","-",HLOOKUP(E393,単価表!$B$1:$D$2,2,FALSE)*B393))</f>
        <v>-</v>
      </c>
      <c r="G393" s="7" t="str">
        <f t="shared" si="13"/>
        <v>-</v>
      </c>
    </row>
    <row r="394" spans="1:7">
      <c r="A394">
        <v>393</v>
      </c>
      <c r="B394">
        <v>1.1970000000000001</v>
      </c>
      <c r="C394" t="s">
        <v>3</v>
      </c>
      <c r="D394" t="s">
        <v>1</v>
      </c>
      <c r="E394" t="str">
        <f t="shared" si="12"/>
        <v>良</v>
      </c>
      <c r="F394" s="7">
        <f>IF(A394="","",IF(E394="並","-",HLOOKUP(E394,単価表!$B$1:$D$2,2,FALSE)*B394))</f>
        <v>1436.4</v>
      </c>
      <c r="G394" s="7">
        <f t="shared" si="13"/>
        <v>1450</v>
      </c>
    </row>
    <row r="395" spans="1:7">
      <c r="A395">
        <v>394</v>
      </c>
      <c r="B395">
        <v>0.745</v>
      </c>
      <c r="C395" t="s">
        <v>1</v>
      </c>
      <c r="D395" t="s">
        <v>1</v>
      </c>
      <c r="E395" t="str">
        <f t="shared" si="12"/>
        <v>優</v>
      </c>
      <c r="F395" s="7">
        <f>IF(A395="","",IF(E395="並","-",HLOOKUP(E395,単価表!$B$1:$D$2,2,FALSE)*B395))</f>
        <v>1117.5</v>
      </c>
      <c r="G395" s="7">
        <f t="shared" si="13"/>
        <v>1150</v>
      </c>
    </row>
    <row r="396" spans="1:7">
      <c r="A396">
        <v>395</v>
      </c>
      <c r="B396">
        <v>0.70399999999999996</v>
      </c>
      <c r="C396" t="s">
        <v>3</v>
      </c>
      <c r="D396" t="s">
        <v>1</v>
      </c>
      <c r="E396" t="str">
        <f t="shared" si="12"/>
        <v>良</v>
      </c>
      <c r="F396" s="7">
        <f>IF(A396="","",IF(E396="並","-",HLOOKUP(E396,単価表!$B$1:$D$2,2,FALSE)*B396))</f>
        <v>844.8</v>
      </c>
      <c r="G396" s="7">
        <f t="shared" si="13"/>
        <v>850</v>
      </c>
    </row>
    <row r="397" spans="1:7">
      <c r="A397">
        <v>396</v>
      </c>
      <c r="B397">
        <v>2.8740000000000001</v>
      </c>
      <c r="C397" t="s">
        <v>5</v>
      </c>
      <c r="D397" t="s">
        <v>5</v>
      </c>
      <c r="E397" t="str">
        <f t="shared" si="12"/>
        <v>並</v>
      </c>
      <c r="F397" s="7" t="str">
        <f>IF(A397="","",IF(E397="並","-",HLOOKUP(E397,単価表!$B$1:$D$2,2,FALSE)*B397))</f>
        <v>-</v>
      </c>
      <c r="G397" s="7" t="str">
        <f t="shared" si="13"/>
        <v>-</v>
      </c>
    </row>
    <row r="398" spans="1:7">
      <c r="A398">
        <v>397</v>
      </c>
      <c r="B398">
        <v>2.601</v>
      </c>
      <c r="C398" t="s">
        <v>3</v>
      </c>
      <c r="D398" t="s">
        <v>3</v>
      </c>
      <c r="E398" t="str">
        <f t="shared" si="12"/>
        <v>良</v>
      </c>
      <c r="F398" s="7">
        <f>IF(A398="","",IF(E398="並","-",HLOOKUP(E398,単価表!$B$1:$D$2,2,FALSE)*B398))</f>
        <v>3121.2</v>
      </c>
      <c r="G398" s="7">
        <f t="shared" si="13"/>
        <v>3150</v>
      </c>
    </row>
    <row r="399" spans="1:7">
      <c r="A399">
        <v>398</v>
      </c>
      <c r="B399">
        <v>0.79600000000000004</v>
      </c>
      <c r="C399" t="s">
        <v>3</v>
      </c>
      <c r="D399" t="s">
        <v>3</v>
      </c>
      <c r="E399" t="str">
        <f t="shared" si="12"/>
        <v>良</v>
      </c>
      <c r="F399" s="7">
        <f>IF(A399="","",IF(E399="並","-",HLOOKUP(E399,単価表!$B$1:$D$2,2,FALSE)*B399))</f>
        <v>955.2</v>
      </c>
      <c r="G399" s="7">
        <f t="shared" si="13"/>
        <v>1000</v>
      </c>
    </row>
    <row r="400" spans="1:7">
      <c r="A400">
        <v>399</v>
      </c>
      <c r="B400">
        <v>2.3620000000000001</v>
      </c>
      <c r="C400" t="s">
        <v>3</v>
      </c>
      <c r="D400" t="s">
        <v>5</v>
      </c>
      <c r="E400" t="str">
        <f t="shared" si="12"/>
        <v>並</v>
      </c>
      <c r="F400" s="7" t="str">
        <f>IF(A400="","",IF(E400="並","-",HLOOKUP(E400,単価表!$B$1:$D$2,2,FALSE)*B400))</f>
        <v>-</v>
      </c>
      <c r="G400" s="7" t="str">
        <f t="shared" si="13"/>
        <v>-</v>
      </c>
    </row>
    <row r="401" spans="1:7">
      <c r="A401">
        <v>400</v>
      </c>
      <c r="B401">
        <v>1.22</v>
      </c>
      <c r="C401" t="s">
        <v>1</v>
      </c>
      <c r="D401" t="s">
        <v>5</v>
      </c>
      <c r="E401" t="str">
        <f t="shared" si="12"/>
        <v>並</v>
      </c>
      <c r="F401" s="7" t="str">
        <f>IF(A401="","",IF(E401="並","-",HLOOKUP(E401,単価表!$B$1:$D$2,2,FALSE)*B401))</f>
        <v>-</v>
      </c>
      <c r="G401" s="7" t="str">
        <f t="shared" si="13"/>
        <v>-</v>
      </c>
    </row>
    <row r="402" spans="1:7">
      <c r="A402">
        <v>401</v>
      </c>
      <c r="B402">
        <v>2.766</v>
      </c>
      <c r="C402" t="s">
        <v>1</v>
      </c>
      <c r="D402" t="s">
        <v>3</v>
      </c>
      <c r="E402" t="str">
        <f t="shared" si="12"/>
        <v>良</v>
      </c>
      <c r="F402" s="7">
        <f>IF(A402="","",IF(E402="並","-",HLOOKUP(E402,単価表!$B$1:$D$2,2,FALSE)*B402))</f>
        <v>3319.2</v>
      </c>
      <c r="G402" s="7">
        <f t="shared" si="13"/>
        <v>3350</v>
      </c>
    </row>
    <row r="403" spans="1:7">
      <c r="A403">
        <v>402</v>
      </c>
      <c r="B403">
        <v>2.1269999999999998</v>
      </c>
      <c r="C403" t="s">
        <v>5</v>
      </c>
      <c r="D403" t="s">
        <v>5</v>
      </c>
      <c r="E403" t="str">
        <f t="shared" si="12"/>
        <v>並</v>
      </c>
      <c r="F403" s="7" t="str">
        <f>IF(A403="","",IF(E403="並","-",HLOOKUP(E403,単価表!$B$1:$D$2,2,FALSE)*B403))</f>
        <v>-</v>
      </c>
      <c r="G403" s="7" t="str">
        <f t="shared" si="13"/>
        <v>-</v>
      </c>
    </row>
    <row r="404" spans="1:7">
      <c r="A404">
        <v>403</v>
      </c>
      <c r="B404">
        <v>2.5299999999999998</v>
      </c>
      <c r="C404" t="s">
        <v>5</v>
      </c>
      <c r="D404" t="s">
        <v>5</v>
      </c>
      <c r="E404" t="str">
        <f t="shared" si="12"/>
        <v>並</v>
      </c>
      <c r="F404" s="7" t="str">
        <f>IF(A404="","",IF(E404="並","-",HLOOKUP(E404,単価表!$B$1:$D$2,2,FALSE)*B404))</f>
        <v>-</v>
      </c>
      <c r="G404" s="7" t="str">
        <f t="shared" si="13"/>
        <v>-</v>
      </c>
    </row>
    <row r="405" spans="1:7">
      <c r="A405">
        <v>404</v>
      </c>
      <c r="B405">
        <v>1.2689999999999999</v>
      </c>
      <c r="C405" t="s">
        <v>5</v>
      </c>
      <c r="D405" t="s">
        <v>3</v>
      </c>
      <c r="E405" t="str">
        <f t="shared" si="12"/>
        <v>並</v>
      </c>
      <c r="F405" s="7" t="str">
        <f>IF(A405="","",IF(E405="並","-",HLOOKUP(E405,単価表!$B$1:$D$2,2,FALSE)*B405))</f>
        <v>-</v>
      </c>
      <c r="G405" s="7" t="str">
        <f t="shared" si="13"/>
        <v>-</v>
      </c>
    </row>
    <row r="406" spans="1:7">
      <c r="A406">
        <v>405</v>
      </c>
      <c r="B406">
        <v>1.4850000000000001</v>
      </c>
      <c r="C406" t="s">
        <v>1</v>
      </c>
      <c r="D406" t="s">
        <v>5</v>
      </c>
      <c r="E406" t="str">
        <f t="shared" si="12"/>
        <v>並</v>
      </c>
      <c r="F406" s="7" t="str">
        <f>IF(A406="","",IF(E406="並","-",HLOOKUP(E406,単価表!$B$1:$D$2,2,FALSE)*B406))</f>
        <v>-</v>
      </c>
      <c r="G406" s="7" t="str">
        <f t="shared" si="13"/>
        <v>-</v>
      </c>
    </row>
    <row r="407" spans="1:7">
      <c r="A407">
        <v>406</v>
      </c>
      <c r="B407">
        <v>2.2519999999999998</v>
      </c>
      <c r="C407" t="s">
        <v>1</v>
      </c>
      <c r="D407" t="s">
        <v>1</v>
      </c>
      <c r="E407" t="str">
        <f t="shared" si="12"/>
        <v>優</v>
      </c>
      <c r="F407" s="7">
        <f>IF(A407="","",IF(E407="並","-",HLOOKUP(E407,単価表!$B$1:$D$2,2,FALSE)*B407))</f>
        <v>3377.9999999999995</v>
      </c>
      <c r="G407" s="7">
        <f t="shared" si="13"/>
        <v>3400</v>
      </c>
    </row>
    <row r="408" spans="1:7">
      <c r="A408">
        <v>407</v>
      </c>
      <c r="B408">
        <v>2.48</v>
      </c>
      <c r="C408" t="s">
        <v>1</v>
      </c>
      <c r="D408" t="s">
        <v>3</v>
      </c>
      <c r="E408" t="str">
        <f t="shared" si="12"/>
        <v>良</v>
      </c>
      <c r="F408" s="7">
        <f>IF(A408="","",IF(E408="並","-",HLOOKUP(E408,単価表!$B$1:$D$2,2,FALSE)*B408))</f>
        <v>2976</v>
      </c>
      <c r="G408" s="7">
        <f t="shared" si="13"/>
        <v>3000</v>
      </c>
    </row>
    <row r="409" spans="1:7">
      <c r="A409">
        <v>408</v>
      </c>
      <c r="B409">
        <v>0.94599999999999995</v>
      </c>
      <c r="C409" t="s">
        <v>5</v>
      </c>
      <c r="D409" t="s">
        <v>5</v>
      </c>
      <c r="E409" t="str">
        <f t="shared" si="12"/>
        <v>並</v>
      </c>
      <c r="F409" s="7" t="str">
        <f>IF(A409="","",IF(E409="並","-",HLOOKUP(E409,単価表!$B$1:$D$2,2,FALSE)*B409))</f>
        <v>-</v>
      </c>
      <c r="G409" s="7" t="str">
        <f t="shared" si="13"/>
        <v>-</v>
      </c>
    </row>
    <row r="410" spans="1:7">
      <c r="A410">
        <v>409</v>
      </c>
      <c r="B410">
        <v>2.8519999999999999</v>
      </c>
      <c r="C410" t="s">
        <v>3</v>
      </c>
      <c r="D410" t="s">
        <v>5</v>
      </c>
      <c r="E410" t="str">
        <f t="shared" si="12"/>
        <v>並</v>
      </c>
      <c r="F410" s="7" t="str">
        <f>IF(A410="","",IF(E410="並","-",HLOOKUP(E410,単価表!$B$1:$D$2,2,FALSE)*B410))</f>
        <v>-</v>
      </c>
      <c r="G410" s="7" t="str">
        <f t="shared" si="13"/>
        <v>-</v>
      </c>
    </row>
    <row r="411" spans="1:7">
      <c r="A411">
        <v>410</v>
      </c>
      <c r="B411">
        <v>2.4940000000000002</v>
      </c>
      <c r="C411" t="s">
        <v>3</v>
      </c>
      <c r="D411" t="s">
        <v>5</v>
      </c>
      <c r="E411" t="str">
        <f t="shared" si="12"/>
        <v>並</v>
      </c>
      <c r="F411" s="7" t="str">
        <f>IF(A411="","",IF(E411="並","-",HLOOKUP(E411,単価表!$B$1:$D$2,2,FALSE)*B411))</f>
        <v>-</v>
      </c>
      <c r="G411" s="7" t="str">
        <f t="shared" si="13"/>
        <v>-</v>
      </c>
    </row>
    <row r="412" spans="1:7">
      <c r="A412">
        <v>411</v>
      </c>
      <c r="B412">
        <v>2.8879999999999999</v>
      </c>
      <c r="C412" t="s">
        <v>5</v>
      </c>
      <c r="D412" t="s">
        <v>1</v>
      </c>
      <c r="E412" t="str">
        <f t="shared" si="12"/>
        <v>並</v>
      </c>
      <c r="F412" s="7" t="str">
        <f>IF(A412="","",IF(E412="並","-",HLOOKUP(E412,単価表!$B$1:$D$2,2,FALSE)*B412))</f>
        <v>-</v>
      </c>
      <c r="G412" s="7" t="str">
        <f t="shared" si="13"/>
        <v>-</v>
      </c>
    </row>
    <row r="413" spans="1:7">
      <c r="A413">
        <v>412</v>
      </c>
      <c r="B413">
        <v>2.859</v>
      </c>
      <c r="C413" t="s">
        <v>1</v>
      </c>
      <c r="D413" t="s">
        <v>1</v>
      </c>
      <c r="E413" t="str">
        <f t="shared" si="12"/>
        <v>優</v>
      </c>
      <c r="F413" s="7">
        <f>IF(A413="","",IF(E413="並","-",HLOOKUP(E413,単価表!$B$1:$D$2,2,FALSE)*B413))</f>
        <v>4288.5</v>
      </c>
      <c r="G413" s="7">
        <f t="shared" si="13"/>
        <v>4300</v>
      </c>
    </row>
    <row r="414" spans="1:7">
      <c r="A414">
        <v>413</v>
      </c>
      <c r="B414">
        <v>2.3039999999999998</v>
      </c>
      <c r="C414" t="s">
        <v>1</v>
      </c>
      <c r="D414" t="s">
        <v>3</v>
      </c>
      <c r="E414" t="str">
        <f t="shared" si="12"/>
        <v>良</v>
      </c>
      <c r="F414" s="7">
        <f>IF(A414="","",IF(E414="並","-",HLOOKUP(E414,単価表!$B$1:$D$2,2,FALSE)*B414))</f>
        <v>2764.7999999999997</v>
      </c>
      <c r="G414" s="7">
        <f t="shared" si="13"/>
        <v>2800</v>
      </c>
    </row>
    <row r="415" spans="1:7">
      <c r="A415">
        <v>414</v>
      </c>
      <c r="B415">
        <v>1.8420000000000001</v>
      </c>
      <c r="C415" t="s">
        <v>1</v>
      </c>
      <c r="D415" t="s">
        <v>3</v>
      </c>
      <c r="E415" t="str">
        <f t="shared" si="12"/>
        <v>良</v>
      </c>
      <c r="F415" s="7">
        <f>IF(A415="","",IF(E415="並","-",HLOOKUP(E415,単価表!$B$1:$D$2,2,FALSE)*B415))</f>
        <v>2210.4</v>
      </c>
      <c r="G415" s="7">
        <f t="shared" si="13"/>
        <v>2250</v>
      </c>
    </row>
    <row r="416" spans="1:7">
      <c r="A416">
        <v>415</v>
      </c>
      <c r="B416">
        <v>1.6819999999999999</v>
      </c>
      <c r="C416" t="s">
        <v>5</v>
      </c>
      <c r="D416" t="s">
        <v>5</v>
      </c>
      <c r="E416" t="str">
        <f t="shared" si="12"/>
        <v>並</v>
      </c>
      <c r="F416" s="7" t="str">
        <f>IF(A416="","",IF(E416="並","-",HLOOKUP(E416,単価表!$B$1:$D$2,2,FALSE)*B416))</f>
        <v>-</v>
      </c>
      <c r="G416" s="7" t="str">
        <f t="shared" si="13"/>
        <v>-</v>
      </c>
    </row>
    <row r="417" spans="1:7">
      <c r="A417">
        <v>416</v>
      </c>
      <c r="B417">
        <v>1.702</v>
      </c>
      <c r="C417" t="s">
        <v>5</v>
      </c>
      <c r="D417" t="s">
        <v>1</v>
      </c>
      <c r="E417" t="str">
        <f t="shared" si="12"/>
        <v>並</v>
      </c>
      <c r="F417" s="7" t="str">
        <f>IF(A417="","",IF(E417="並","-",HLOOKUP(E417,単価表!$B$1:$D$2,2,FALSE)*B417))</f>
        <v>-</v>
      </c>
      <c r="G417" s="7" t="str">
        <f t="shared" si="13"/>
        <v>-</v>
      </c>
    </row>
    <row r="418" spans="1:7">
      <c r="A418">
        <v>417</v>
      </c>
      <c r="B418">
        <v>1.7689999999999999</v>
      </c>
      <c r="C418" t="s">
        <v>3</v>
      </c>
      <c r="D418" t="s">
        <v>3</v>
      </c>
      <c r="E418" t="str">
        <f t="shared" si="12"/>
        <v>良</v>
      </c>
      <c r="F418" s="7">
        <f>IF(A418="","",IF(E418="並","-",HLOOKUP(E418,単価表!$B$1:$D$2,2,FALSE)*B418))</f>
        <v>2122.7999999999997</v>
      </c>
      <c r="G418" s="7">
        <f t="shared" si="13"/>
        <v>2150</v>
      </c>
    </row>
    <row r="419" spans="1:7">
      <c r="A419">
        <v>418</v>
      </c>
      <c r="B419">
        <v>2.0739999999999998</v>
      </c>
      <c r="C419" t="s">
        <v>5</v>
      </c>
      <c r="D419" t="s">
        <v>5</v>
      </c>
      <c r="E419" t="str">
        <f t="shared" si="12"/>
        <v>並</v>
      </c>
      <c r="F419" s="7" t="str">
        <f>IF(A419="","",IF(E419="並","-",HLOOKUP(E419,単価表!$B$1:$D$2,2,FALSE)*B419))</f>
        <v>-</v>
      </c>
      <c r="G419" s="7" t="str">
        <f t="shared" si="13"/>
        <v>-</v>
      </c>
    </row>
    <row r="420" spans="1:7">
      <c r="A420">
        <v>419</v>
      </c>
      <c r="B420">
        <v>2.496</v>
      </c>
      <c r="C420" t="s">
        <v>1</v>
      </c>
      <c r="D420" t="s">
        <v>3</v>
      </c>
      <c r="E420" t="str">
        <f t="shared" si="12"/>
        <v>良</v>
      </c>
      <c r="F420" s="7">
        <f>IF(A420="","",IF(E420="並","-",HLOOKUP(E420,単価表!$B$1:$D$2,2,FALSE)*B420))</f>
        <v>2995.2</v>
      </c>
      <c r="G420" s="7">
        <f t="shared" si="13"/>
        <v>3000</v>
      </c>
    </row>
    <row r="421" spans="1:7">
      <c r="A421">
        <v>420</v>
      </c>
      <c r="B421">
        <v>2.863</v>
      </c>
      <c r="C421" t="s">
        <v>3</v>
      </c>
      <c r="D421" t="s">
        <v>1</v>
      </c>
      <c r="E421" t="str">
        <f t="shared" si="12"/>
        <v>良</v>
      </c>
      <c r="F421" s="7">
        <f>IF(A421="","",IF(E421="並","-",HLOOKUP(E421,単価表!$B$1:$D$2,2,FALSE)*B421))</f>
        <v>3435.6</v>
      </c>
      <c r="G421" s="7">
        <f t="shared" si="13"/>
        <v>3450</v>
      </c>
    </row>
    <row r="422" spans="1:7">
      <c r="A422">
        <v>421</v>
      </c>
      <c r="B422">
        <v>2.1419999999999999</v>
      </c>
      <c r="C422" t="s">
        <v>1</v>
      </c>
      <c r="D422" t="s">
        <v>3</v>
      </c>
      <c r="E422" t="str">
        <f t="shared" si="12"/>
        <v>良</v>
      </c>
      <c r="F422" s="7">
        <f>IF(A422="","",IF(E422="並","-",HLOOKUP(E422,単価表!$B$1:$D$2,2,FALSE)*B422))</f>
        <v>2570.4</v>
      </c>
      <c r="G422" s="7">
        <f t="shared" si="13"/>
        <v>2600</v>
      </c>
    </row>
    <row r="423" spans="1:7">
      <c r="A423">
        <v>422</v>
      </c>
      <c r="B423">
        <v>2.8679999999999999</v>
      </c>
      <c r="C423" t="s">
        <v>3</v>
      </c>
      <c r="D423" t="s">
        <v>5</v>
      </c>
      <c r="E423" t="str">
        <f t="shared" si="12"/>
        <v>並</v>
      </c>
      <c r="F423" s="7" t="str">
        <f>IF(A423="","",IF(E423="並","-",HLOOKUP(E423,単価表!$B$1:$D$2,2,FALSE)*B423))</f>
        <v>-</v>
      </c>
      <c r="G423" s="7" t="str">
        <f t="shared" si="13"/>
        <v>-</v>
      </c>
    </row>
    <row r="424" spans="1:7">
      <c r="A424">
        <v>423</v>
      </c>
      <c r="B424">
        <v>1.9079999999999999</v>
      </c>
      <c r="C424" t="s">
        <v>1</v>
      </c>
      <c r="D424" t="s">
        <v>3</v>
      </c>
      <c r="E424" t="str">
        <f t="shared" si="12"/>
        <v>良</v>
      </c>
      <c r="F424" s="7">
        <f>IF(A424="","",IF(E424="並","-",HLOOKUP(E424,単価表!$B$1:$D$2,2,FALSE)*B424))</f>
        <v>2289.6</v>
      </c>
      <c r="G424" s="7">
        <f t="shared" si="13"/>
        <v>2300</v>
      </c>
    </row>
    <row r="425" spans="1:7">
      <c r="A425">
        <v>424</v>
      </c>
      <c r="B425">
        <v>2.0459999999999998</v>
      </c>
      <c r="C425" t="s">
        <v>5</v>
      </c>
      <c r="D425" t="s">
        <v>1</v>
      </c>
      <c r="E425" t="str">
        <f t="shared" si="12"/>
        <v>並</v>
      </c>
      <c r="F425" s="7" t="str">
        <f>IF(A425="","",IF(E425="並","-",HLOOKUP(E425,単価表!$B$1:$D$2,2,FALSE)*B425))</f>
        <v>-</v>
      </c>
      <c r="G425" s="7" t="str">
        <f t="shared" si="13"/>
        <v>-</v>
      </c>
    </row>
    <row r="426" spans="1:7">
      <c r="A426">
        <v>425</v>
      </c>
      <c r="B426">
        <v>2.8740000000000001</v>
      </c>
      <c r="C426" t="s">
        <v>1</v>
      </c>
      <c r="D426" t="s">
        <v>5</v>
      </c>
      <c r="E426" t="str">
        <f t="shared" si="12"/>
        <v>並</v>
      </c>
      <c r="F426" s="7" t="str">
        <f>IF(A426="","",IF(E426="並","-",HLOOKUP(E426,単価表!$B$1:$D$2,2,FALSE)*B426))</f>
        <v>-</v>
      </c>
      <c r="G426" s="7" t="str">
        <f t="shared" si="13"/>
        <v>-</v>
      </c>
    </row>
    <row r="427" spans="1:7">
      <c r="A427">
        <v>426</v>
      </c>
      <c r="B427">
        <v>1.159</v>
      </c>
      <c r="C427" t="s">
        <v>1</v>
      </c>
      <c r="D427" t="s">
        <v>5</v>
      </c>
      <c r="E427" t="str">
        <f t="shared" si="12"/>
        <v>並</v>
      </c>
      <c r="F427" s="7" t="str">
        <f>IF(A427="","",IF(E427="並","-",HLOOKUP(E427,単価表!$B$1:$D$2,2,FALSE)*B427))</f>
        <v>-</v>
      </c>
      <c r="G427" s="7" t="str">
        <f t="shared" si="13"/>
        <v>-</v>
      </c>
    </row>
    <row r="428" spans="1:7">
      <c r="A428">
        <v>427</v>
      </c>
      <c r="B428">
        <v>2.7639999999999998</v>
      </c>
      <c r="C428" t="s">
        <v>3</v>
      </c>
      <c r="D428" t="s">
        <v>1</v>
      </c>
      <c r="E428" t="str">
        <f t="shared" si="12"/>
        <v>良</v>
      </c>
      <c r="F428" s="7">
        <f>IF(A428="","",IF(E428="並","-",HLOOKUP(E428,単価表!$B$1:$D$2,2,FALSE)*B428))</f>
        <v>3316.7999999999997</v>
      </c>
      <c r="G428" s="7">
        <f t="shared" si="13"/>
        <v>3350</v>
      </c>
    </row>
    <row r="429" spans="1:7">
      <c r="A429">
        <v>428</v>
      </c>
      <c r="B429">
        <v>2.2170000000000001</v>
      </c>
      <c r="C429" t="s">
        <v>5</v>
      </c>
      <c r="D429" t="s">
        <v>1</v>
      </c>
      <c r="E429" t="str">
        <f t="shared" si="12"/>
        <v>並</v>
      </c>
      <c r="F429" s="7" t="str">
        <f>IF(A429="","",IF(E429="並","-",HLOOKUP(E429,単価表!$B$1:$D$2,2,FALSE)*B429))</f>
        <v>-</v>
      </c>
      <c r="G429" s="7" t="str">
        <f t="shared" si="13"/>
        <v>-</v>
      </c>
    </row>
    <row r="430" spans="1:7">
      <c r="A430">
        <v>429</v>
      </c>
      <c r="B430">
        <v>0.86</v>
      </c>
      <c r="C430" t="s">
        <v>3</v>
      </c>
      <c r="D430" t="s">
        <v>1</v>
      </c>
      <c r="E430" t="str">
        <f t="shared" si="12"/>
        <v>良</v>
      </c>
      <c r="F430" s="7">
        <f>IF(A430="","",IF(E430="並","-",HLOOKUP(E430,単価表!$B$1:$D$2,2,FALSE)*B430))</f>
        <v>1032</v>
      </c>
      <c r="G430" s="7">
        <f t="shared" si="13"/>
        <v>1050</v>
      </c>
    </row>
    <row r="431" spans="1:7">
      <c r="A431">
        <v>430</v>
      </c>
      <c r="B431">
        <v>1.4339999999999999</v>
      </c>
      <c r="C431" t="s">
        <v>5</v>
      </c>
      <c r="D431" t="s">
        <v>1</v>
      </c>
      <c r="E431" t="str">
        <f t="shared" si="12"/>
        <v>並</v>
      </c>
      <c r="F431" s="7" t="str">
        <f>IF(A431="","",IF(E431="並","-",HLOOKUP(E431,単価表!$B$1:$D$2,2,FALSE)*B431))</f>
        <v>-</v>
      </c>
      <c r="G431" s="7" t="str">
        <f t="shared" si="13"/>
        <v>-</v>
      </c>
    </row>
    <row r="432" spans="1:7">
      <c r="A432">
        <v>431</v>
      </c>
      <c r="B432">
        <v>2.8860000000000001</v>
      </c>
      <c r="C432" t="s">
        <v>1</v>
      </c>
      <c r="D432" t="s">
        <v>3</v>
      </c>
      <c r="E432" t="str">
        <f t="shared" si="12"/>
        <v>良</v>
      </c>
      <c r="F432" s="7">
        <f>IF(A432="","",IF(E432="並","-",HLOOKUP(E432,単価表!$B$1:$D$2,2,FALSE)*B432))</f>
        <v>3463.2000000000003</v>
      </c>
      <c r="G432" s="7">
        <f t="shared" si="13"/>
        <v>3500</v>
      </c>
    </row>
    <row r="433" spans="1:7">
      <c r="A433">
        <v>432</v>
      </c>
      <c r="B433">
        <v>0.64100000000000001</v>
      </c>
      <c r="C433" t="s">
        <v>5</v>
      </c>
      <c r="D433" t="s">
        <v>3</v>
      </c>
      <c r="E433" t="str">
        <f t="shared" si="12"/>
        <v>並</v>
      </c>
      <c r="F433" s="7" t="str">
        <f>IF(A433="","",IF(E433="並","-",HLOOKUP(E433,単価表!$B$1:$D$2,2,FALSE)*B433))</f>
        <v>-</v>
      </c>
      <c r="G433" s="7" t="str">
        <f t="shared" si="13"/>
        <v>-</v>
      </c>
    </row>
    <row r="434" spans="1:7">
      <c r="A434">
        <v>433</v>
      </c>
      <c r="B434">
        <v>0.58599999999999997</v>
      </c>
      <c r="C434" t="s">
        <v>3</v>
      </c>
      <c r="D434" t="s">
        <v>1</v>
      </c>
      <c r="E434" t="str">
        <f t="shared" si="12"/>
        <v>良</v>
      </c>
      <c r="F434" s="7">
        <f>IF(A434="","",IF(E434="並","-",HLOOKUP(E434,単価表!$B$1:$D$2,2,FALSE)*B434))</f>
        <v>703.19999999999993</v>
      </c>
      <c r="G434" s="7">
        <f t="shared" si="13"/>
        <v>750</v>
      </c>
    </row>
    <row r="435" spans="1:7">
      <c r="A435">
        <v>434</v>
      </c>
      <c r="B435">
        <v>2.7029999999999998</v>
      </c>
      <c r="C435" t="s">
        <v>1</v>
      </c>
      <c r="D435" t="s">
        <v>1</v>
      </c>
      <c r="E435" t="str">
        <f t="shared" si="12"/>
        <v>優</v>
      </c>
      <c r="F435" s="7">
        <f>IF(A435="","",IF(E435="並","-",HLOOKUP(E435,単価表!$B$1:$D$2,2,FALSE)*B435))</f>
        <v>4054.4999999999995</v>
      </c>
      <c r="G435" s="7">
        <f t="shared" si="13"/>
        <v>4100</v>
      </c>
    </row>
    <row r="436" spans="1:7">
      <c r="A436">
        <v>435</v>
      </c>
      <c r="B436">
        <v>2.38</v>
      </c>
      <c r="C436" t="s">
        <v>5</v>
      </c>
      <c r="D436" t="s">
        <v>5</v>
      </c>
      <c r="E436" t="str">
        <f t="shared" si="12"/>
        <v>並</v>
      </c>
      <c r="F436" s="7" t="str">
        <f>IF(A436="","",IF(E436="並","-",HLOOKUP(E436,単価表!$B$1:$D$2,2,FALSE)*B436))</f>
        <v>-</v>
      </c>
      <c r="G436" s="7" t="str">
        <f t="shared" si="13"/>
        <v>-</v>
      </c>
    </row>
    <row r="437" spans="1:7">
      <c r="A437">
        <v>436</v>
      </c>
      <c r="B437">
        <v>2.57</v>
      </c>
      <c r="C437" t="s">
        <v>1</v>
      </c>
      <c r="D437" t="s">
        <v>3</v>
      </c>
      <c r="E437" t="str">
        <f t="shared" si="12"/>
        <v>良</v>
      </c>
      <c r="F437" s="7">
        <f>IF(A437="","",IF(E437="並","-",HLOOKUP(E437,単価表!$B$1:$D$2,2,FALSE)*B437))</f>
        <v>3084</v>
      </c>
      <c r="G437" s="7">
        <f t="shared" si="13"/>
        <v>3100</v>
      </c>
    </row>
    <row r="438" spans="1:7">
      <c r="A438">
        <v>437</v>
      </c>
      <c r="B438">
        <v>2.5590000000000002</v>
      </c>
      <c r="C438" t="s">
        <v>1</v>
      </c>
      <c r="D438" t="s">
        <v>5</v>
      </c>
      <c r="E438" t="str">
        <f t="shared" si="12"/>
        <v>並</v>
      </c>
      <c r="F438" s="7" t="str">
        <f>IF(A438="","",IF(E438="並","-",HLOOKUP(E438,単価表!$B$1:$D$2,2,FALSE)*B438))</f>
        <v>-</v>
      </c>
      <c r="G438" s="7" t="str">
        <f t="shared" si="13"/>
        <v>-</v>
      </c>
    </row>
    <row r="439" spans="1:7">
      <c r="A439">
        <v>438</v>
      </c>
      <c r="B439">
        <v>1.0369999999999999</v>
      </c>
      <c r="C439" t="s">
        <v>3</v>
      </c>
      <c r="D439" t="s">
        <v>3</v>
      </c>
      <c r="E439" t="str">
        <f t="shared" si="12"/>
        <v>良</v>
      </c>
      <c r="F439" s="7">
        <f>IF(A439="","",IF(E439="並","-",HLOOKUP(E439,単価表!$B$1:$D$2,2,FALSE)*B439))</f>
        <v>1244.3999999999999</v>
      </c>
      <c r="G439" s="7">
        <f t="shared" si="13"/>
        <v>1250</v>
      </c>
    </row>
    <row r="440" spans="1:7">
      <c r="A440">
        <v>439</v>
      </c>
      <c r="B440">
        <v>1.2010000000000001</v>
      </c>
      <c r="C440" t="s">
        <v>1</v>
      </c>
      <c r="D440" t="s">
        <v>1</v>
      </c>
      <c r="E440" t="str">
        <f t="shared" si="12"/>
        <v>優</v>
      </c>
      <c r="F440" s="7">
        <f>IF(A440="","",IF(E440="並","-",HLOOKUP(E440,単価表!$B$1:$D$2,2,FALSE)*B440))</f>
        <v>1801.5</v>
      </c>
      <c r="G440" s="7">
        <f t="shared" si="13"/>
        <v>1850</v>
      </c>
    </row>
    <row r="441" spans="1:7">
      <c r="A441">
        <v>440</v>
      </c>
      <c r="B441">
        <v>0.92600000000000005</v>
      </c>
      <c r="C441" t="s">
        <v>5</v>
      </c>
      <c r="D441" t="s">
        <v>3</v>
      </c>
      <c r="E441" t="str">
        <f t="shared" si="12"/>
        <v>並</v>
      </c>
      <c r="F441" s="7" t="str">
        <f>IF(A441="","",IF(E441="並","-",HLOOKUP(E441,単価表!$B$1:$D$2,2,FALSE)*B441))</f>
        <v>-</v>
      </c>
      <c r="G441" s="7" t="str">
        <f t="shared" si="13"/>
        <v>-</v>
      </c>
    </row>
    <row r="442" spans="1:7">
      <c r="A442">
        <v>441</v>
      </c>
      <c r="B442">
        <v>2.0470000000000002</v>
      </c>
      <c r="C442" t="s">
        <v>1</v>
      </c>
      <c r="D442" t="s">
        <v>5</v>
      </c>
      <c r="E442" t="str">
        <f t="shared" si="12"/>
        <v>並</v>
      </c>
      <c r="F442" s="7" t="str">
        <f>IF(A442="","",IF(E442="並","-",HLOOKUP(E442,単価表!$B$1:$D$2,2,FALSE)*B442))</f>
        <v>-</v>
      </c>
      <c r="G442" s="7" t="str">
        <f t="shared" si="13"/>
        <v>-</v>
      </c>
    </row>
    <row r="443" spans="1:7">
      <c r="A443">
        <v>442</v>
      </c>
      <c r="B443">
        <v>2.141</v>
      </c>
      <c r="C443" t="s">
        <v>1</v>
      </c>
      <c r="D443" t="s">
        <v>5</v>
      </c>
      <c r="E443" t="str">
        <f t="shared" si="12"/>
        <v>並</v>
      </c>
      <c r="F443" s="7" t="str">
        <f>IF(A443="","",IF(E443="並","-",HLOOKUP(E443,単価表!$B$1:$D$2,2,FALSE)*B443))</f>
        <v>-</v>
      </c>
      <c r="G443" s="7" t="str">
        <f t="shared" si="13"/>
        <v>-</v>
      </c>
    </row>
    <row r="444" spans="1:7">
      <c r="A444">
        <v>443</v>
      </c>
      <c r="B444">
        <v>1.794</v>
      </c>
      <c r="C444" t="s">
        <v>3</v>
      </c>
      <c r="D444" t="s">
        <v>5</v>
      </c>
      <c r="E444" t="str">
        <f t="shared" si="12"/>
        <v>並</v>
      </c>
      <c r="F444" s="7" t="str">
        <f>IF(A444="","",IF(E444="並","-",HLOOKUP(E444,単価表!$B$1:$D$2,2,FALSE)*B444))</f>
        <v>-</v>
      </c>
      <c r="G444" s="7" t="str">
        <f t="shared" si="13"/>
        <v>-</v>
      </c>
    </row>
    <row r="445" spans="1:7">
      <c r="A445">
        <v>444</v>
      </c>
      <c r="B445">
        <v>2.0880000000000001</v>
      </c>
      <c r="C445" t="s">
        <v>1</v>
      </c>
      <c r="D445" t="s">
        <v>1</v>
      </c>
      <c r="E445" t="str">
        <f t="shared" si="12"/>
        <v>優</v>
      </c>
      <c r="F445" s="7">
        <f>IF(A445="","",IF(E445="並","-",HLOOKUP(E445,単価表!$B$1:$D$2,2,FALSE)*B445))</f>
        <v>3132</v>
      </c>
      <c r="G445" s="7">
        <f t="shared" si="13"/>
        <v>3150</v>
      </c>
    </row>
    <row r="446" spans="1:7">
      <c r="A446">
        <v>445</v>
      </c>
      <c r="B446">
        <v>2.4140000000000001</v>
      </c>
      <c r="C446" t="s">
        <v>1</v>
      </c>
      <c r="D446" t="s">
        <v>1</v>
      </c>
      <c r="E446" t="str">
        <f t="shared" si="12"/>
        <v>優</v>
      </c>
      <c r="F446" s="7">
        <f>IF(A446="","",IF(E446="並","-",HLOOKUP(E446,単価表!$B$1:$D$2,2,FALSE)*B446))</f>
        <v>3621</v>
      </c>
      <c r="G446" s="7">
        <f t="shared" si="13"/>
        <v>3650</v>
      </c>
    </row>
    <row r="447" spans="1:7">
      <c r="A447">
        <v>446</v>
      </c>
      <c r="B447">
        <v>1.8080000000000001</v>
      </c>
      <c r="C447" t="s">
        <v>5</v>
      </c>
      <c r="D447" t="s">
        <v>3</v>
      </c>
      <c r="E447" t="str">
        <f t="shared" si="12"/>
        <v>並</v>
      </c>
      <c r="F447" s="7" t="str">
        <f>IF(A447="","",IF(E447="並","-",HLOOKUP(E447,単価表!$B$1:$D$2,2,FALSE)*B447))</f>
        <v>-</v>
      </c>
      <c r="G447" s="7" t="str">
        <f t="shared" si="13"/>
        <v>-</v>
      </c>
    </row>
    <row r="448" spans="1:7">
      <c r="A448">
        <v>447</v>
      </c>
      <c r="B448">
        <v>2.2210000000000001</v>
      </c>
      <c r="C448" t="s">
        <v>1</v>
      </c>
      <c r="D448" t="s">
        <v>3</v>
      </c>
      <c r="E448" t="str">
        <f t="shared" si="12"/>
        <v>良</v>
      </c>
      <c r="F448" s="7">
        <f>IF(A448="","",IF(E448="並","-",HLOOKUP(E448,単価表!$B$1:$D$2,2,FALSE)*B448))</f>
        <v>2665.2000000000003</v>
      </c>
      <c r="G448" s="7">
        <f t="shared" si="13"/>
        <v>2700</v>
      </c>
    </row>
    <row r="449" spans="1:7">
      <c r="A449">
        <v>448</v>
      </c>
      <c r="B449">
        <v>2.3260000000000001</v>
      </c>
      <c r="C449" t="s">
        <v>1</v>
      </c>
      <c r="D449" t="s">
        <v>1</v>
      </c>
      <c r="E449" t="str">
        <f t="shared" si="12"/>
        <v>優</v>
      </c>
      <c r="F449" s="7">
        <f>IF(A449="","",IF(E449="並","-",HLOOKUP(E449,単価表!$B$1:$D$2,2,FALSE)*B449))</f>
        <v>3489</v>
      </c>
      <c r="G449" s="7">
        <f t="shared" si="13"/>
        <v>3500</v>
      </c>
    </row>
    <row r="450" spans="1:7">
      <c r="A450">
        <v>449</v>
      </c>
      <c r="B450">
        <v>1.32</v>
      </c>
      <c r="C450" t="s">
        <v>1</v>
      </c>
      <c r="D450" t="s">
        <v>1</v>
      </c>
      <c r="E450" t="str">
        <f t="shared" si="12"/>
        <v>優</v>
      </c>
      <c r="F450" s="7">
        <f>IF(A450="","",IF(E450="並","-",HLOOKUP(E450,単価表!$B$1:$D$2,2,FALSE)*B450))</f>
        <v>1980</v>
      </c>
      <c r="G450" s="7">
        <f t="shared" si="13"/>
        <v>2000</v>
      </c>
    </row>
    <row r="451" spans="1:7">
      <c r="A451">
        <v>450</v>
      </c>
      <c r="B451">
        <v>1.389</v>
      </c>
      <c r="C451" t="s">
        <v>3</v>
      </c>
      <c r="D451" t="s">
        <v>5</v>
      </c>
      <c r="E451" t="str">
        <f t="shared" ref="E451:E514" si="14">IF(A451="","",IF(OR(C451="並",D451="並"),"並",IF(OR(C451="良",D451="良"),"良","優")))</f>
        <v>並</v>
      </c>
      <c r="F451" s="7" t="str">
        <f>IF(A451="","",IF(E451="並","-",HLOOKUP(E451,単価表!$B$1:$D$2,2,FALSE)*B451))</f>
        <v>-</v>
      </c>
      <c r="G451" s="7" t="str">
        <f t="shared" si="13"/>
        <v>-</v>
      </c>
    </row>
    <row r="452" spans="1:7">
      <c r="A452">
        <v>451</v>
      </c>
      <c r="B452">
        <v>1.4359999999999999</v>
      </c>
      <c r="C452" t="s">
        <v>3</v>
      </c>
      <c r="D452" t="s">
        <v>3</v>
      </c>
      <c r="E452" t="str">
        <f t="shared" si="14"/>
        <v>良</v>
      </c>
      <c r="F452" s="7">
        <f>IF(A452="","",IF(E452="並","-",HLOOKUP(E452,単価表!$B$1:$D$2,2,FALSE)*B452))</f>
        <v>1723.1999999999998</v>
      </c>
      <c r="G452" s="7">
        <f t="shared" ref="G452:G515" si="15">IF(A452="","",IF(E452="並","-",ROUNDUP(F452/50,0)*50))</f>
        <v>1750</v>
      </c>
    </row>
    <row r="453" spans="1:7">
      <c r="A453">
        <v>452</v>
      </c>
      <c r="B453">
        <v>2.3149999999999999</v>
      </c>
      <c r="C453" t="s">
        <v>5</v>
      </c>
      <c r="D453" t="s">
        <v>3</v>
      </c>
      <c r="E453" t="str">
        <f t="shared" si="14"/>
        <v>並</v>
      </c>
      <c r="F453" s="7" t="str">
        <f>IF(A453="","",IF(E453="並","-",HLOOKUP(E453,単価表!$B$1:$D$2,2,FALSE)*B453))</f>
        <v>-</v>
      </c>
      <c r="G453" s="7" t="str">
        <f t="shared" si="15"/>
        <v>-</v>
      </c>
    </row>
    <row r="454" spans="1:7">
      <c r="A454">
        <v>453</v>
      </c>
      <c r="B454">
        <v>1.9650000000000001</v>
      </c>
      <c r="C454" t="s">
        <v>1</v>
      </c>
      <c r="D454" t="s">
        <v>3</v>
      </c>
      <c r="E454" t="str">
        <f t="shared" si="14"/>
        <v>良</v>
      </c>
      <c r="F454" s="7">
        <f>IF(A454="","",IF(E454="並","-",HLOOKUP(E454,単価表!$B$1:$D$2,2,FALSE)*B454))</f>
        <v>2358</v>
      </c>
      <c r="G454" s="7">
        <f t="shared" si="15"/>
        <v>2400</v>
      </c>
    </row>
    <row r="455" spans="1:7">
      <c r="A455">
        <v>454</v>
      </c>
      <c r="B455">
        <v>2.6320000000000001</v>
      </c>
      <c r="C455" t="s">
        <v>5</v>
      </c>
      <c r="D455" t="s">
        <v>3</v>
      </c>
      <c r="E455" t="str">
        <f t="shared" si="14"/>
        <v>並</v>
      </c>
      <c r="F455" s="7" t="str">
        <f>IF(A455="","",IF(E455="並","-",HLOOKUP(E455,単価表!$B$1:$D$2,2,FALSE)*B455))</f>
        <v>-</v>
      </c>
      <c r="G455" s="7" t="str">
        <f t="shared" si="15"/>
        <v>-</v>
      </c>
    </row>
    <row r="456" spans="1:7">
      <c r="A456">
        <v>455</v>
      </c>
      <c r="B456">
        <v>1.3360000000000001</v>
      </c>
      <c r="C456" t="s">
        <v>5</v>
      </c>
      <c r="D456" t="s">
        <v>3</v>
      </c>
      <c r="E456" t="str">
        <f t="shared" si="14"/>
        <v>並</v>
      </c>
      <c r="F456" s="7" t="str">
        <f>IF(A456="","",IF(E456="並","-",HLOOKUP(E456,単価表!$B$1:$D$2,2,FALSE)*B456))</f>
        <v>-</v>
      </c>
      <c r="G456" s="7" t="str">
        <f t="shared" si="15"/>
        <v>-</v>
      </c>
    </row>
    <row r="457" spans="1:7">
      <c r="A457">
        <v>456</v>
      </c>
      <c r="B457">
        <v>2.1110000000000002</v>
      </c>
      <c r="C457" t="s">
        <v>3</v>
      </c>
      <c r="D457" t="s">
        <v>3</v>
      </c>
      <c r="E457" t="str">
        <f t="shared" si="14"/>
        <v>良</v>
      </c>
      <c r="F457" s="7">
        <f>IF(A457="","",IF(E457="並","-",HLOOKUP(E457,単価表!$B$1:$D$2,2,FALSE)*B457))</f>
        <v>2533.2000000000003</v>
      </c>
      <c r="G457" s="7">
        <f t="shared" si="15"/>
        <v>2550</v>
      </c>
    </row>
    <row r="458" spans="1:7">
      <c r="A458">
        <v>457</v>
      </c>
      <c r="B458">
        <v>1.3180000000000001</v>
      </c>
      <c r="C458" t="s">
        <v>1</v>
      </c>
      <c r="D458" t="s">
        <v>1</v>
      </c>
      <c r="E458" t="str">
        <f t="shared" si="14"/>
        <v>優</v>
      </c>
      <c r="F458" s="7">
        <f>IF(A458="","",IF(E458="並","-",HLOOKUP(E458,単価表!$B$1:$D$2,2,FALSE)*B458))</f>
        <v>1977</v>
      </c>
      <c r="G458" s="7">
        <f t="shared" si="15"/>
        <v>2000</v>
      </c>
    </row>
    <row r="459" spans="1:7">
      <c r="A459">
        <v>458</v>
      </c>
      <c r="B459">
        <v>2.68</v>
      </c>
      <c r="C459" t="s">
        <v>3</v>
      </c>
      <c r="D459" t="s">
        <v>5</v>
      </c>
      <c r="E459" t="str">
        <f t="shared" si="14"/>
        <v>並</v>
      </c>
      <c r="F459" s="7" t="str">
        <f>IF(A459="","",IF(E459="並","-",HLOOKUP(E459,単価表!$B$1:$D$2,2,FALSE)*B459))</f>
        <v>-</v>
      </c>
      <c r="G459" s="7" t="str">
        <f t="shared" si="15"/>
        <v>-</v>
      </c>
    </row>
    <row r="460" spans="1:7">
      <c r="A460">
        <v>459</v>
      </c>
      <c r="B460">
        <v>1.627</v>
      </c>
      <c r="C460" t="s">
        <v>5</v>
      </c>
      <c r="D460" t="s">
        <v>5</v>
      </c>
      <c r="E460" t="str">
        <f t="shared" si="14"/>
        <v>並</v>
      </c>
      <c r="F460" s="7" t="str">
        <f>IF(A460="","",IF(E460="並","-",HLOOKUP(E460,単価表!$B$1:$D$2,2,FALSE)*B460))</f>
        <v>-</v>
      </c>
      <c r="G460" s="7" t="str">
        <f t="shared" si="15"/>
        <v>-</v>
      </c>
    </row>
    <row r="461" spans="1:7">
      <c r="A461">
        <v>460</v>
      </c>
      <c r="B461">
        <v>0.753</v>
      </c>
      <c r="C461" t="s">
        <v>5</v>
      </c>
      <c r="D461" t="s">
        <v>1</v>
      </c>
      <c r="E461" t="str">
        <f t="shared" si="14"/>
        <v>並</v>
      </c>
      <c r="F461" s="7" t="str">
        <f>IF(A461="","",IF(E461="並","-",HLOOKUP(E461,単価表!$B$1:$D$2,2,FALSE)*B461))</f>
        <v>-</v>
      </c>
      <c r="G461" s="7" t="str">
        <f t="shared" si="15"/>
        <v>-</v>
      </c>
    </row>
    <row r="462" spans="1:7">
      <c r="A462">
        <v>461</v>
      </c>
      <c r="B462">
        <v>1.4950000000000001</v>
      </c>
      <c r="C462" t="s">
        <v>1</v>
      </c>
      <c r="D462" t="s">
        <v>5</v>
      </c>
      <c r="E462" t="str">
        <f t="shared" si="14"/>
        <v>並</v>
      </c>
      <c r="F462" s="7" t="str">
        <f>IF(A462="","",IF(E462="並","-",HLOOKUP(E462,単価表!$B$1:$D$2,2,FALSE)*B462))</f>
        <v>-</v>
      </c>
      <c r="G462" s="7" t="str">
        <f t="shared" si="15"/>
        <v>-</v>
      </c>
    </row>
    <row r="463" spans="1:7">
      <c r="A463">
        <v>462</v>
      </c>
      <c r="B463">
        <v>1.2869999999999999</v>
      </c>
      <c r="C463" t="s">
        <v>5</v>
      </c>
      <c r="D463" t="s">
        <v>3</v>
      </c>
      <c r="E463" t="str">
        <f t="shared" si="14"/>
        <v>並</v>
      </c>
      <c r="F463" s="7" t="str">
        <f>IF(A463="","",IF(E463="並","-",HLOOKUP(E463,単価表!$B$1:$D$2,2,FALSE)*B463))</f>
        <v>-</v>
      </c>
      <c r="G463" s="7" t="str">
        <f t="shared" si="15"/>
        <v>-</v>
      </c>
    </row>
    <row r="464" spans="1:7">
      <c r="A464">
        <v>463</v>
      </c>
      <c r="B464">
        <v>1.087</v>
      </c>
      <c r="C464" t="s">
        <v>1</v>
      </c>
      <c r="D464" t="s">
        <v>3</v>
      </c>
      <c r="E464" t="str">
        <f t="shared" si="14"/>
        <v>良</v>
      </c>
      <c r="F464" s="7">
        <f>IF(A464="","",IF(E464="並","-",HLOOKUP(E464,単価表!$B$1:$D$2,2,FALSE)*B464))</f>
        <v>1304.3999999999999</v>
      </c>
      <c r="G464" s="7">
        <f t="shared" si="15"/>
        <v>1350</v>
      </c>
    </row>
    <row r="465" spans="1:7">
      <c r="A465">
        <v>464</v>
      </c>
      <c r="B465">
        <v>0.84399999999999997</v>
      </c>
      <c r="C465" t="s">
        <v>3</v>
      </c>
      <c r="D465" t="s">
        <v>5</v>
      </c>
      <c r="E465" t="str">
        <f t="shared" si="14"/>
        <v>並</v>
      </c>
      <c r="F465" s="7" t="str">
        <f>IF(A465="","",IF(E465="並","-",HLOOKUP(E465,単価表!$B$1:$D$2,2,FALSE)*B465))</f>
        <v>-</v>
      </c>
      <c r="G465" s="7" t="str">
        <f t="shared" si="15"/>
        <v>-</v>
      </c>
    </row>
    <row r="466" spans="1:7">
      <c r="A466">
        <v>465</v>
      </c>
      <c r="B466">
        <v>1.5049999999999999</v>
      </c>
      <c r="C466" t="s">
        <v>5</v>
      </c>
      <c r="D466" t="s">
        <v>3</v>
      </c>
      <c r="E466" t="str">
        <f t="shared" si="14"/>
        <v>並</v>
      </c>
      <c r="F466" s="7" t="str">
        <f>IF(A466="","",IF(E466="並","-",HLOOKUP(E466,単価表!$B$1:$D$2,2,FALSE)*B466))</f>
        <v>-</v>
      </c>
      <c r="G466" s="7" t="str">
        <f t="shared" si="15"/>
        <v>-</v>
      </c>
    </row>
    <row r="467" spans="1:7">
      <c r="A467">
        <v>466</v>
      </c>
      <c r="B467">
        <v>1.8480000000000001</v>
      </c>
      <c r="C467" t="s">
        <v>5</v>
      </c>
      <c r="D467" t="s">
        <v>3</v>
      </c>
      <c r="E467" t="str">
        <f t="shared" si="14"/>
        <v>並</v>
      </c>
      <c r="F467" s="7" t="str">
        <f>IF(A467="","",IF(E467="並","-",HLOOKUP(E467,単価表!$B$1:$D$2,2,FALSE)*B467))</f>
        <v>-</v>
      </c>
      <c r="G467" s="7" t="str">
        <f t="shared" si="15"/>
        <v>-</v>
      </c>
    </row>
    <row r="468" spans="1:7">
      <c r="A468">
        <v>467</v>
      </c>
      <c r="B468">
        <v>2.1480000000000001</v>
      </c>
      <c r="C468" t="s">
        <v>1</v>
      </c>
      <c r="D468" t="s">
        <v>5</v>
      </c>
      <c r="E468" t="str">
        <f t="shared" si="14"/>
        <v>並</v>
      </c>
      <c r="F468" s="7" t="str">
        <f>IF(A468="","",IF(E468="並","-",HLOOKUP(E468,単価表!$B$1:$D$2,2,FALSE)*B468))</f>
        <v>-</v>
      </c>
      <c r="G468" s="7" t="str">
        <f t="shared" si="15"/>
        <v>-</v>
      </c>
    </row>
    <row r="469" spans="1:7">
      <c r="A469">
        <v>468</v>
      </c>
      <c r="B469">
        <v>2.72</v>
      </c>
      <c r="C469" t="s">
        <v>1</v>
      </c>
      <c r="D469" t="s">
        <v>1</v>
      </c>
      <c r="E469" t="str">
        <f t="shared" si="14"/>
        <v>優</v>
      </c>
      <c r="F469" s="7">
        <f>IF(A469="","",IF(E469="並","-",HLOOKUP(E469,単価表!$B$1:$D$2,2,FALSE)*B469))</f>
        <v>4080.0000000000005</v>
      </c>
      <c r="G469" s="7">
        <f t="shared" si="15"/>
        <v>4100</v>
      </c>
    </row>
    <row r="470" spans="1:7">
      <c r="A470">
        <v>469</v>
      </c>
      <c r="B470">
        <v>1.851</v>
      </c>
      <c r="C470" t="s">
        <v>5</v>
      </c>
      <c r="D470" t="s">
        <v>5</v>
      </c>
      <c r="E470" t="str">
        <f t="shared" si="14"/>
        <v>並</v>
      </c>
      <c r="F470" s="7" t="str">
        <f>IF(A470="","",IF(E470="並","-",HLOOKUP(E470,単価表!$B$1:$D$2,2,FALSE)*B470))</f>
        <v>-</v>
      </c>
      <c r="G470" s="7" t="str">
        <f t="shared" si="15"/>
        <v>-</v>
      </c>
    </row>
    <row r="471" spans="1:7">
      <c r="A471">
        <v>470</v>
      </c>
      <c r="B471">
        <v>1.9450000000000001</v>
      </c>
      <c r="C471" t="s">
        <v>1</v>
      </c>
      <c r="D471" t="s">
        <v>1</v>
      </c>
      <c r="E471" t="str">
        <f t="shared" si="14"/>
        <v>優</v>
      </c>
      <c r="F471" s="7">
        <f>IF(A471="","",IF(E471="並","-",HLOOKUP(E471,単価表!$B$1:$D$2,2,FALSE)*B471))</f>
        <v>2917.5</v>
      </c>
      <c r="G471" s="7">
        <f t="shared" si="15"/>
        <v>2950</v>
      </c>
    </row>
    <row r="472" spans="1:7">
      <c r="A472">
        <v>471</v>
      </c>
      <c r="B472">
        <v>2.9569999999999999</v>
      </c>
      <c r="C472" t="s">
        <v>1</v>
      </c>
      <c r="D472" t="s">
        <v>1</v>
      </c>
      <c r="E472" t="str">
        <f t="shared" si="14"/>
        <v>優</v>
      </c>
      <c r="F472" s="7">
        <f>IF(A472="","",IF(E472="並","-",HLOOKUP(E472,単価表!$B$1:$D$2,2,FALSE)*B472))</f>
        <v>4435.5</v>
      </c>
      <c r="G472" s="7">
        <f t="shared" si="15"/>
        <v>4450</v>
      </c>
    </row>
    <row r="473" spans="1:7">
      <c r="A473">
        <v>472</v>
      </c>
      <c r="B473">
        <v>1.88</v>
      </c>
      <c r="C473" t="s">
        <v>3</v>
      </c>
      <c r="D473" t="s">
        <v>3</v>
      </c>
      <c r="E473" t="str">
        <f t="shared" si="14"/>
        <v>良</v>
      </c>
      <c r="F473" s="7">
        <f>IF(A473="","",IF(E473="並","-",HLOOKUP(E473,単価表!$B$1:$D$2,2,FALSE)*B473))</f>
        <v>2256</v>
      </c>
      <c r="G473" s="7">
        <f t="shared" si="15"/>
        <v>2300</v>
      </c>
    </row>
    <row r="474" spans="1:7">
      <c r="A474">
        <v>473</v>
      </c>
      <c r="B474">
        <v>1.196</v>
      </c>
      <c r="C474" t="s">
        <v>3</v>
      </c>
      <c r="D474" t="s">
        <v>5</v>
      </c>
      <c r="E474" t="str">
        <f t="shared" si="14"/>
        <v>並</v>
      </c>
      <c r="F474" s="7" t="str">
        <f>IF(A474="","",IF(E474="並","-",HLOOKUP(E474,単価表!$B$1:$D$2,2,FALSE)*B474))</f>
        <v>-</v>
      </c>
      <c r="G474" s="7" t="str">
        <f t="shared" si="15"/>
        <v>-</v>
      </c>
    </row>
    <row r="475" spans="1:7">
      <c r="A475">
        <v>474</v>
      </c>
      <c r="B475">
        <v>1.728</v>
      </c>
      <c r="C475" t="s">
        <v>5</v>
      </c>
      <c r="D475" t="s">
        <v>3</v>
      </c>
      <c r="E475" t="str">
        <f t="shared" si="14"/>
        <v>並</v>
      </c>
      <c r="F475" s="7" t="str">
        <f>IF(A475="","",IF(E475="並","-",HLOOKUP(E475,単価表!$B$1:$D$2,2,FALSE)*B475))</f>
        <v>-</v>
      </c>
      <c r="G475" s="7" t="str">
        <f t="shared" si="15"/>
        <v>-</v>
      </c>
    </row>
    <row r="476" spans="1:7">
      <c r="A476">
        <v>475</v>
      </c>
      <c r="B476">
        <v>1.508</v>
      </c>
      <c r="C476" t="s">
        <v>1</v>
      </c>
      <c r="D476" t="s">
        <v>3</v>
      </c>
      <c r="E476" t="str">
        <f t="shared" si="14"/>
        <v>良</v>
      </c>
      <c r="F476" s="7">
        <f>IF(A476="","",IF(E476="並","-",HLOOKUP(E476,単価表!$B$1:$D$2,2,FALSE)*B476))</f>
        <v>1809.6</v>
      </c>
      <c r="G476" s="7">
        <f t="shared" si="15"/>
        <v>1850</v>
      </c>
    </row>
    <row r="477" spans="1:7">
      <c r="A477">
        <v>476</v>
      </c>
      <c r="B477">
        <v>1.2589999999999999</v>
      </c>
      <c r="C477" t="s">
        <v>5</v>
      </c>
      <c r="D477" t="s">
        <v>5</v>
      </c>
      <c r="E477" t="str">
        <f t="shared" si="14"/>
        <v>並</v>
      </c>
      <c r="F477" s="7" t="str">
        <f>IF(A477="","",IF(E477="並","-",HLOOKUP(E477,単価表!$B$1:$D$2,2,FALSE)*B477))</f>
        <v>-</v>
      </c>
      <c r="G477" s="7" t="str">
        <f t="shared" si="15"/>
        <v>-</v>
      </c>
    </row>
    <row r="478" spans="1:7">
      <c r="A478">
        <v>477</v>
      </c>
      <c r="B478">
        <v>1.5820000000000001</v>
      </c>
      <c r="C478" t="s">
        <v>1</v>
      </c>
      <c r="D478" t="s">
        <v>1</v>
      </c>
      <c r="E478" t="str">
        <f t="shared" si="14"/>
        <v>優</v>
      </c>
      <c r="F478" s="7">
        <f>IF(A478="","",IF(E478="並","-",HLOOKUP(E478,単価表!$B$1:$D$2,2,FALSE)*B478))</f>
        <v>2373</v>
      </c>
      <c r="G478" s="7">
        <f t="shared" si="15"/>
        <v>2400</v>
      </c>
    </row>
    <row r="479" spans="1:7">
      <c r="A479">
        <v>478</v>
      </c>
      <c r="B479">
        <v>2.4740000000000002</v>
      </c>
      <c r="C479" t="s">
        <v>3</v>
      </c>
      <c r="D479" t="s">
        <v>3</v>
      </c>
      <c r="E479" t="str">
        <f t="shared" si="14"/>
        <v>良</v>
      </c>
      <c r="F479" s="7">
        <f>IF(A479="","",IF(E479="並","-",HLOOKUP(E479,単価表!$B$1:$D$2,2,FALSE)*B479))</f>
        <v>2968.8</v>
      </c>
      <c r="G479" s="7">
        <f t="shared" si="15"/>
        <v>3000</v>
      </c>
    </row>
    <row r="480" spans="1:7">
      <c r="A480">
        <v>479</v>
      </c>
      <c r="B480">
        <v>1.0289999999999999</v>
      </c>
      <c r="C480" t="s">
        <v>1</v>
      </c>
      <c r="D480" t="s">
        <v>5</v>
      </c>
      <c r="E480" t="str">
        <f t="shared" si="14"/>
        <v>並</v>
      </c>
      <c r="F480" s="7" t="str">
        <f>IF(A480="","",IF(E480="並","-",HLOOKUP(E480,単価表!$B$1:$D$2,2,FALSE)*B480))</f>
        <v>-</v>
      </c>
      <c r="G480" s="7" t="str">
        <f t="shared" si="15"/>
        <v>-</v>
      </c>
    </row>
    <row r="481" spans="1:7">
      <c r="A481">
        <v>480</v>
      </c>
      <c r="B481">
        <v>2.552</v>
      </c>
      <c r="C481" t="s">
        <v>1</v>
      </c>
      <c r="D481" t="s">
        <v>5</v>
      </c>
      <c r="E481" t="str">
        <f t="shared" si="14"/>
        <v>並</v>
      </c>
      <c r="F481" s="7" t="str">
        <f>IF(A481="","",IF(E481="並","-",HLOOKUP(E481,単価表!$B$1:$D$2,2,FALSE)*B481))</f>
        <v>-</v>
      </c>
      <c r="G481" s="7" t="str">
        <f t="shared" si="15"/>
        <v>-</v>
      </c>
    </row>
    <row r="482" spans="1:7">
      <c r="A482">
        <v>481</v>
      </c>
      <c r="B482">
        <v>2.2109999999999999</v>
      </c>
      <c r="C482" t="s">
        <v>3</v>
      </c>
      <c r="D482" t="s">
        <v>3</v>
      </c>
      <c r="E482" t="str">
        <f t="shared" si="14"/>
        <v>良</v>
      </c>
      <c r="F482" s="7">
        <f>IF(A482="","",IF(E482="並","-",HLOOKUP(E482,単価表!$B$1:$D$2,2,FALSE)*B482))</f>
        <v>2653.2</v>
      </c>
      <c r="G482" s="7">
        <f t="shared" si="15"/>
        <v>2700</v>
      </c>
    </row>
    <row r="483" spans="1:7">
      <c r="A483">
        <v>482</v>
      </c>
      <c r="B483">
        <v>1.8140000000000001</v>
      </c>
      <c r="C483" t="s">
        <v>1</v>
      </c>
      <c r="D483" t="s">
        <v>3</v>
      </c>
      <c r="E483" t="str">
        <f t="shared" si="14"/>
        <v>良</v>
      </c>
      <c r="F483" s="7">
        <f>IF(A483="","",IF(E483="並","-",HLOOKUP(E483,単価表!$B$1:$D$2,2,FALSE)*B483))</f>
        <v>2176.8000000000002</v>
      </c>
      <c r="G483" s="7">
        <f t="shared" si="15"/>
        <v>2200</v>
      </c>
    </row>
    <row r="484" spans="1:7">
      <c r="A484">
        <v>483</v>
      </c>
      <c r="B484">
        <v>0.90600000000000003</v>
      </c>
      <c r="C484" t="s">
        <v>5</v>
      </c>
      <c r="D484" t="s">
        <v>5</v>
      </c>
      <c r="E484" t="str">
        <f t="shared" si="14"/>
        <v>並</v>
      </c>
      <c r="F484" s="7" t="str">
        <f>IF(A484="","",IF(E484="並","-",HLOOKUP(E484,単価表!$B$1:$D$2,2,FALSE)*B484))</f>
        <v>-</v>
      </c>
      <c r="G484" s="7" t="str">
        <f t="shared" si="15"/>
        <v>-</v>
      </c>
    </row>
    <row r="485" spans="1:7">
      <c r="A485">
        <v>484</v>
      </c>
      <c r="B485">
        <v>1.1399999999999999</v>
      </c>
      <c r="C485" t="s">
        <v>3</v>
      </c>
      <c r="D485" t="s">
        <v>1</v>
      </c>
      <c r="E485" t="str">
        <f t="shared" si="14"/>
        <v>良</v>
      </c>
      <c r="F485" s="7">
        <f>IF(A485="","",IF(E485="並","-",HLOOKUP(E485,単価表!$B$1:$D$2,2,FALSE)*B485))</f>
        <v>1367.9999999999998</v>
      </c>
      <c r="G485" s="7">
        <f t="shared" si="15"/>
        <v>1400</v>
      </c>
    </row>
    <row r="486" spans="1:7">
      <c r="A486">
        <v>485</v>
      </c>
      <c r="B486">
        <v>1.5069999999999999</v>
      </c>
      <c r="C486" t="s">
        <v>3</v>
      </c>
      <c r="D486" t="s">
        <v>5</v>
      </c>
      <c r="E486" t="str">
        <f t="shared" si="14"/>
        <v>並</v>
      </c>
      <c r="F486" s="7" t="str">
        <f>IF(A486="","",IF(E486="並","-",HLOOKUP(E486,単価表!$B$1:$D$2,2,FALSE)*B486))</f>
        <v>-</v>
      </c>
      <c r="G486" s="7" t="str">
        <f t="shared" si="15"/>
        <v>-</v>
      </c>
    </row>
    <row r="487" spans="1:7">
      <c r="A487">
        <v>486</v>
      </c>
      <c r="B487">
        <v>0.97499999999999998</v>
      </c>
      <c r="C487" t="s">
        <v>5</v>
      </c>
      <c r="D487" t="s">
        <v>1</v>
      </c>
      <c r="E487" t="str">
        <f t="shared" si="14"/>
        <v>並</v>
      </c>
      <c r="F487" s="7" t="str">
        <f>IF(A487="","",IF(E487="並","-",HLOOKUP(E487,単価表!$B$1:$D$2,2,FALSE)*B487))</f>
        <v>-</v>
      </c>
      <c r="G487" s="7" t="str">
        <f t="shared" si="15"/>
        <v>-</v>
      </c>
    </row>
    <row r="488" spans="1:7">
      <c r="A488">
        <v>487</v>
      </c>
      <c r="B488">
        <v>1.371</v>
      </c>
      <c r="C488" t="s">
        <v>1</v>
      </c>
      <c r="D488" t="s">
        <v>1</v>
      </c>
      <c r="E488" t="str">
        <f t="shared" si="14"/>
        <v>優</v>
      </c>
      <c r="F488" s="7">
        <f>IF(A488="","",IF(E488="並","-",HLOOKUP(E488,単価表!$B$1:$D$2,2,FALSE)*B488))</f>
        <v>2056.5</v>
      </c>
      <c r="G488" s="7">
        <f t="shared" si="15"/>
        <v>2100</v>
      </c>
    </row>
    <row r="489" spans="1:7">
      <c r="A489">
        <v>488</v>
      </c>
      <c r="B489">
        <v>2.4510000000000001</v>
      </c>
      <c r="C489" t="s">
        <v>1</v>
      </c>
      <c r="D489" t="s">
        <v>1</v>
      </c>
      <c r="E489" t="str">
        <f t="shared" si="14"/>
        <v>優</v>
      </c>
      <c r="F489" s="7">
        <f>IF(A489="","",IF(E489="並","-",HLOOKUP(E489,単価表!$B$1:$D$2,2,FALSE)*B489))</f>
        <v>3676.5</v>
      </c>
      <c r="G489" s="7">
        <f t="shared" si="15"/>
        <v>3700</v>
      </c>
    </row>
    <row r="490" spans="1:7">
      <c r="A490">
        <v>489</v>
      </c>
      <c r="B490">
        <v>2.2290000000000001</v>
      </c>
      <c r="C490" t="s">
        <v>5</v>
      </c>
      <c r="D490" t="s">
        <v>1</v>
      </c>
      <c r="E490" t="str">
        <f t="shared" si="14"/>
        <v>並</v>
      </c>
      <c r="F490" s="7" t="str">
        <f>IF(A490="","",IF(E490="並","-",HLOOKUP(E490,単価表!$B$1:$D$2,2,FALSE)*B490))</f>
        <v>-</v>
      </c>
      <c r="G490" s="7" t="str">
        <f t="shared" si="15"/>
        <v>-</v>
      </c>
    </row>
    <row r="491" spans="1:7">
      <c r="A491">
        <v>490</v>
      </c>
      <c r="B491">
        <v>2.9359999999999999</v>
      </c>
      <c r="C491" t="s">
        <v>5</v>
      </c>
      <c r="D491" t="s">
        <v>5</v>
      </c>
      <c r="E491" t="str">
        <f t="shared" si="14"/>
        <v>並</v>
      </c>
      <c r="F491" s="7" t="str">
        <f>IF(A491="","",IF(E491="並","-",HLOOKUP(E491,単価表!$B$1:$D$2,2,FALSE)*B491))</f>
        <v>-</v>
      </c>
      <c r="G491" s="7" t="str">
        <f t="shared" si="15"/>
        <v>-</v>
      </c>
    </row>
    <row r="492" spans="1:7">
      <c r="A492">
        <v>491</v>
      </c>
      <c r="B492">
        <v>0.82399999999999995</v>
      </c>
      <c r="C492" t="s">
        <v>5</v>
      </c>
      <c r="D492" t="s">
        <v>1</v>
      </c>
      <c r="E492" t="str">
        <f t="shared" si="14"/>
        <v>並</v>
      </c>
      <c r="F492" s="7" t="str">
        <f>IF(A492="","",IF(E492="並","-",HLOOKUP(E492,単価表!$B$1:$D$2,2,FALSE)*B492))</f>
        <v>-</v>
      </c>
      <c r="G492" s="7" t="str">
        <f t="shared" si="15"/>
        <v>-</v>
      </c>
    </row>
    <row r="493" spans="1:7">
      <c r="A493">
        <v>492</v>
      </c>
      <c r="B493">
        <v>1.3029999999999999</v>
      </c>
      <c r="C493" t="s">
        <v>5</v>
      </c>
      <c r="D493" t="s">
        <v>3</v>
      </c>
      <c r="E493" t="str">
        <f t="shared" si="14"/>
        <v>並</v>
      </c>
      <c r="F493" s="7" t="str">
        <f>IF(A493="","",IF(E493="並","-",HLOOKUP(E493,単価表!$B$1:$D$2,2,FALSE)*B493))</f>
        <v>-</v>
      </c>
      <c r="G493" s="7" t="str">
        <f t="shared" si="15"/>
        <v>-</v>
      </c>
    </row>
    <row r="494" spans="1:7">
      <c r="A494">
        <v>493</v>
      </c>
      <c r="B494">
        <v>1.71</v>
      </c>
      <c r="C494" t="s">
        <v>1</v>
      </c>
      <c r="D494" t="s">
        <v>5</v>
      </c>
      <c r="E494" t="str">
        <f t="shared" si="14"/>
        <v>並</v>
      </c>
      <c r="F494" s="7" t="str">
        <f>IF(A494="","",IF(E494="並","-",HLOOKUP(E494,単価表!$B$1:$D$2,2,FALSE)*B494))</f>
        <v>-</v>
      </c>
      <c r="G494" s="7" t="str">
        <f t="shared" si="15"/>
        <v>-</v>
      </c>
    </row>
    <row r="495" spans="1:7">
      <c r="A495">
        <v>494</v>
      </c>
      <c r="B495">
        <v>1.1990000000000001</v>
      </c>
      <c r="C495" t="s">
        <v>5</v>
      </c>
      <c r="D495" t="s">
        <v>3</v>
      </c>
      <c r="E495" t="str">
        <f t="shared" si="14"/>
        <v>並</v>
      </c>
      <c r="F495" s="7" t="str">
        <f>IF(A495="","",IF(E495="並","-",HLOOKUP(E495,単価表!$B$1:$D$2,2,FALSE)*B495))</f>
        <v>-</v>
      </c>
      <c r="G495" s="7" t="str">
        <f t="shared" si="15"/>
        <v>-</v>
      </c>
    </row>
    <row r="496" spans="1:7">
      <c r="A496">
        <v>495</v>
      </c>
      <c r="B496">
        <v>1.3919999999999999</v>
      </c>
      <c r="C496" t="s">
        <v>3</v>
      </c>
      <c r="D496" t="s">
        <v>5</v>
      </c>
      <c r="E496" t="str">
        <f t="shared" si="14"/>
        <v>並</v>
      </c>
      <c r="F496" s="7" t="str">
        <f>IF(A496="","",IF(E496="並","-",HLOOKUP(E496,単価表!$B$1:$D$2,2,FALSE)*B496))</f>
        <v>-</v>
      </c>
      <c r="G496" s="7" t="str">
        <f t="shared" si="15"/>
        <v>-</v>
      </c>
    </row>
    <row r="497" spans="1:7">
      <c r="A497">
        <v>496</v>
      </c>
      <c r="B497">
        <v>2.7879999999999998</v>
      </c>
      <c r="C497" t="s">
        <v>1</v>
      </c>
      <c r="D497" t="s">
        <v>3</v>
      </c>
      <c r="E497" t="str">
        <f t="shared" si="14"/>
        <v>良</v>
      </c>
      <c r="F497" s="7">
        <f>IF(A497="","",IF(E497="並","-",HLOOKUP(E497,単価表!$B$1:$D$2,2,FALSE)*B497))</f>
        <v>3345.6</v>
      </c>
      <c r="G497" s="7">
        <f t="shared" si="15"/>
        <v>3350</v>
      </c>
    </row>
    <row r="498" spans="1:7">
      <c r="A498">
        <v>497</v>
      </c>
      <c r="B498">
        <v>0.623</v>
      </c>
      <c r="C498" t="s">
        <v>3</v>
      </c>
      <c r="D498" t="s">
        <v>5</v>
      </c>
      <c r="E498" t="str">
        <f t="shared" si="14"/>
        <v>並</v>
      </c>
      <c r="F498" s="7" t="str">
        <f>IF(A498="","",IF(E498="並","-",HLOOKUP(E498,単価表!$B$1:$D$2,2,FALSE)*B498))</f>
        <v>-</v>
      </c>
      <c r="G498" s="7" t="str">
        <f t="shared" si="15"/>
        <v>-</v>
      </c>
    </row>
    <row r="499" spans="1:7">
      <c r="A499">
        <v>498</v>
      </c>
      <c r="B499">
        <v>2.0209999999999999</v>
      </c>
      <c r="C499" t="s">
        <v>5</v>
      </c>
      <c r="D499" t="s">
        <v>5</v>
      </c>
      <c r="E499" t="str">
        <f t="shared" si="14"/>
        <v>並</v>
      </c>
      <c r="F499" s="7" t="str">
        <f>IF(A499="","",IF(E499="並","-",HLOOKUP(E499,単価表!$B$1:$D$2,2,FALSE)*B499))</f>
        <v>-</v>
      </c>
      <c r="G499" s="7" t="str">
        <f t="shared" si="15"/>
        <v>-</v>
      </c>
    </row>
    <row r="500" spans="1:7">
      <c r="A500">
        <v>499</v>
      </c>
      <c r="B500">
        <v>1.8120000000000001</v>
      </c>
      <c r="C500" t="s">
        <v>5</v>
      </c>
      <c r="D500" t="s">
        <v>3</v>
      </c>
      <c r="E500" t="str">
        <f t="shared" si="14"/>
        <v>並</v>
      </c>
      <c r="F500" s="7" t="str">
        <f>IF(A500="","",IF(E500="並","-",HLOOKUP(E500,単価表!$B$1:$D$2,2,FALSE)*B500))</f>
        <v>-</v>
      </c>
      <c r="G500" s="7" t="str">
        <f t="shared" si="15"/>
        <v>-</v>
      </c>
    </row>
    <row r="501" spans="1:7">
      <c r="A501">
        <v>500</v>
      </c>
      <c r="B501">
        <v>1.7330000000000001</v>
      </c>
      <c r="C501" t="s">
        <v>3</v>
      </c>
      <c r="D501" t="s">
        <v>5</v>
      </c>
      <c r="E501" t="str">
        <f t="shared" si="14"/>
        <v>並</v>
      </c>
      <c r="F501" s="7" t="str">
        <f>IF(A501="","",IF(E501="並","-",HLOOKUP(E501,単価表!$B$1:$D$2,2,FALSE)*B501))</f>
        <v>-</v>
      </c>
      <c r="G501" s="7" t="str">
        <f t="shared" si="15"/>
        <v>-</v>
      </c>
    </row>
    <row r="502" spans="1:7">
      <c r="A502">
        <v>501</v>
      </c>
      <c r="B502">
        <v>2.6779999999999999</v>
      </c>
      <c r="C502" t="s">
        <v>3</v>
      </c>
      <c r="D502" t="s">
        <v>3</v>
      </c>
      <c r="E502" t="str">
        <f t="shared" si="14"/>
        <v>良</v>
      </c>
      <c r="F502" s="7">
        <f>IF(A502="","",IF(E502="並","-",HLOOKUP(E502,単価表!$B$1:$D$2,2,FALSE)*B502))</f>
        <v>3213.6</v>
      </c>
      <c r="G502" s="7">
        <f t="shared" si="15"/>
        <v>3250</v>
      </c>
    </row>
    <row r="503" spans="1:7">
      <c r="A503">
        <v>502</v>
      </c>
      <c r="B503">
        <v>1.425</v>
      </c>
      <c r="C503" t="s">
        <v>5</v>
      </c>
      <c r="D503" t="s">
        <v>1</v>
      </c>
      <c r="E503" t="str">
        <f t="shared" si="14"/>
        <v>並</v>
      </c>
      <c r="F503" s="7" t="str">
        <f>IF(A503="","",IF(E503="並","-",HLOOKUP(E503,単価表!$B$1:$D$2,2,FALSE)*B503))</f>
        <v>-</v>
      </c>
      <c r="G503" s="7" t="str">
        <f t="shared" si="15"/>
        <v>-</v>
      </c>
    </row>
    <row r="504" spans="1:7">
      <c r="A504">
        <v>503</v>
      </c>
      <c r="B504">
        <v>2.2789999999999999</v>
      </c>
      <c r="C504" t="s">
        <v>1</v>
      </c>
      <c r="D504" t="s">
        <v>5</v>
      </c>
      <c r="E504" t="str">
        <f t="shared" si="14"/>
        <v>並</v>
      </c>
      <c r="F504" s="7" t="str">
        <f>IF(A504="","",IF(E504="並","-",HLOOKUP(E504,単価表!$B$1:$D$2,2,FALSE)*B504))</f>
        <v>-</v>
      </c>
      <c r="G504" s="7" t="str">
        <f t="shared" si="15"/>
        <v>-</v>
      </c>
    </row>
    <row r="505" spans="1:7">
      <c r="A505">
        <v>504</v>
      </c>
      <c r="B505">
        <v>2.0539999999999998</v>
      </c>
      <c r="C505" t="s">
        <v>5</v>
      </c>
      <c r="D505" t="s">
        <v>3</v>
      </c>
      <c r="E505" t="str">
        <f t="shared" si="14"/>
        <v>並</v>
      </c>
      <c r="F505" s="7" t="str">
        <f>IF(A505="","",IF(E505="並","-",HLOOKUP(E505,単価表!$B$1:$D$2,2,FALSE)*B505))</f>
        <v>-</v>
      </c>
      <c r="G505" s="7" t="str">
        <f t="shared" si="15"/>
        <v>-</v>
      </c>
    </row>
    <row r="506" spans="1:7">
      <c r="A506">
        <v>505</v>
      </c>
      <c r="B506">
        <v>0.91900000000000004</v>
      </c>
      <c r="C506" t="s">
        <v>3</v>
      </c>
      <c r="D506" t="s">
        <v>3</v>
      </c>
      <c r="E506" t="str">
        <f t="shared" si="14"/>
        <v>良</v>
      </c>
      <c r="F506" s="7">
        <f>IF(A506="","",IF(E506="並","-",HLOOKUP(E506,単価表!$B$1:$D$2,2,FALSE)*B506))</f>
        <v>1102.8</v>
      </c>
      <c r="G506" s="7">
        <f t="shared" si="15"/>
        <v>1150</v>
      </c>
    </row>
    <row r="507" spans="1:7">
      <c r="A507">
        <v>506</v>
      </c>
      <c r="B507">
        <v>1.2350000000000001</v>
      </c>
      <c r="C507" t="s">
        <v>5</v>
      </c>
      <c r="D507" t="s">
        <v>1</v>
      </c>
      <c r="E507" t="str">
        <f t="shared" si="14"/>
        <v>並</v>
      </c>
      <c r="F507" s="7" t="str">
        <f>IF(A507="","",IF(E507="並","-",HLOOKUP(E507,単価表!$B$1:$D$2,2,FALSE)*B507))</f>
        <v>-</v>
      </c>
      <c r="G507" s="7" t="str">
        <f t="shared" si="15"/>
        <v>-</v>
      </c>
    </row>
    <row r="508" spans="1:7">
      <c r="A508">
        <v>507</v>
      </c>
      <c r="B508">
        <v>2.431</v>
      </c>
      <c r="C508" t="s">
        <v>1</v>
      </c>
      <c r="D508" t="s">
        <v>5</v>
      </c>
      <c r="E508" t="str">
        <f t="shared" si="14"/>
        <v>並</v>
      </c>
      <c r="F508" s="7" t="str">
        <f>IF(A508="","",IF(E508="並","-",HLOOKUP(E508,単価表!$B$1:$D$2,2,FALSE)*B508))</f>
        <v>-</v>
      </c>
      <c r="G508" s="7" t="str">
        <f t="shared" si="15"/>
        <v>-</v>
      </c>
    </row>
    <row r="509" spans="1:7">
      <c r="A509">
        <v>508</v>
      </c>
      <c r="B509">
        <v>2.4569999999999999</v>
      </c>
      <c r="C509" t="s">
        <v>3</v>
      </c>
      <c r="D509" t="s">
        <v>3</v>
      </c>
      <c r="E509" t="str">
        <f t="shared" si="14"/>
        <v>良</v>
      </c>
      <c r="F509" s="7">
        <f>IF(A509="","",IF(E509="並","-",HLOOKUP(E509,単価表!$B$1:$D$2,2,FALSE)*B509))</f>
        <v>2948.3999999999996</v>
      </c>
      <c r="G509" s="7">
        <f t="shared" si="15"/>
        <v>2950</v>
      </c>
    </row>
    <row r="510" spans="1:7">
      <c r="A510">
        <v>509</v>
      </c>
      <c r="B510">
        <v>2.6789999999999998</v>
      </c>
      <c r="C510" t="s">
        <v>5</v>
      </c>
      <c r="D510" t="s">
        <v>5</v>
      </c>
      <c r="E510" t="str">
        <f t="shared" si="14"/>
        <v>並</v>
      </c>
      <c r="F510" s="7" t="str">
        <f>IF(A510="","",IF(E510="並","-",HLOOKUP(E510,単価表!$B$1:$D$2,2,FALSE)*B510))</f>
        <v>-</v>
      </c>
      <c r="G510" s="7" t="str">
        <f t="shared" si="15"/>
        <v>-</v>
      </c>
    </row>
    <row r="511" spans="1:7">
      <c r="A511">
        <v>510</v>
      </c>
      <c r="B511">
        <v>2.1309999999999998</v>
      </c>
      <c r="C511" t="s">
        <v>3</v>
      </c>
      <c r="D511" t="s">
        <v>3</v>
      </c>
      <c r="E511" t="str">
        <f t="shared" si="14"/>
        <v>良</v>
      </c>
      <c r="F511" s="7">
        <f>IF(A511="","",IF(E511="並","-",HLOOKUP(E511,単価表!$B$1:$D$2,2,FALSE)*B511))</f>
        <v>2557.1999999999998</v>
      </c>
      <c r="G511" s="7">
        <f t="shared" si="15"/>
        <v>2600</v>
      </c>
    </row>
    <row r="512" spans="1:7">
      <c r="A512">
        <v>511</v>
      </c>
      <c r="B512">
        <v>2.3839999999999999</v>
      </c>
      <c r="C512" t="s">
        <v>5</v>
      </c>
      <c r="D512" t="s">
        <v>5</v>
      </c>
      <c r="E512" t="str">
        <f t="shared" si="14"/>
        <v>並</v>
      </c>
      <c r="F512" s="7" t="str">
        <f>IF(A512="","",IF(E512="並","-",HLOOKUP(E512,単価表!$B$1:$D$2,2,FALSE)*B512))</f>
        <v>-</v>
      </c>
      <c r="G512" s="7" t="str">
        <f t="shared" si="15"/>
        <v>-</v>
      </c>
    </row>
    <row r="513" spans="1:7">
      <c r="A513">
        <v>512</v>
      </c>
      <c r="B513">
        <v>0.81100000000000005</v>
      </c>
      <c r="C513" t="s">
        <v>5</v>
      </c>
      <c r="D513" t="s">
        <v>5</v>
      </c>
      <c r="E513" t="str">
        <f t="shared" si="14"/>
        <v>並</v>
      </c>
      <c r="F513" s="7" t="str">
        <f>IF(A513="","",IF(E513="並","-",HLOOKUP(E513,単価表!$B$1:$D$2,2,FALSE)*B513))</f>
        <v>-</v>
      </c>
      <c r="G513" s="7" t="str">
        <f t="shared" si="15"/>
        <v>-</v>
      </c>
    </row>
    <row r="514" spans="1:7">
      <c r="A514">
        <v>513</v>
      </c>
      <c r="B514">
        <v>2.4020000000000001</v>
      </c>
      <c r="C514" t="s">
        <v>5</v>
      </c>
      <c r="D514" t="s">
        <v>1</v>
      </c>
      <c r="E514" t="str">
        <f t="shared" si="14"/>
        <v>並</v>
      </c>
      <c r="F514" s="7" t="str">
        <f>IF(A514="","",IF(E514="並","-",HLOOKUP(E514,単価表!$B$1:$D$2,2,FALSE)*B514))</f>
        <v>-</v>
      </c>
      <c r="G514" s="7" t="str">
        <f t="shared" si="15"/>
        <v>-</v>
      </c>
    </row>
    <row r="515" spans="1:7">
      <c r="A515">
        <v>514</v>
      </c>
      <c r="B515">
        <v>0.63400000000000001</v>
      </c>
      <c r="C515" t="s">
        <v>3</v>
      </c>
      <c r="D515" t="s">
        <v>5</v>
      </c>
      <c r="E515" t="str">
        <f t="shared" ref="E515:E578" si="16">IF(A515="","",IF(OR(C515="並",D515="並"),"並",IF(OR(C515="良",D515="良"),"良","優")))</f>
        <v>並</v>
      </c>
      <c r="F515" s="7" t="str">
        <f>IF(A515="","",IF(E515="並","-",HLOOKUP(E515,単価表!$B$1:$D$2,2,FALSE)*B515))</f>
        <v>-</v>
      </c>
      <c r="G515" s="7" t="str">
        <f t="shared" si="15"/>
        <v>-</v>
      </c>
    </row>
    <row r="516" spans="1:7">
      <c r="A516">
        <v>515</v>
      </c>
      <c r="B516">
        <v>1.069</v>
      </c>
      <c r="C516" t="s">
        <v>3</v>
      </c>
      <c r="D516" t="s">
        <v>5</v>
      </c>
      <c r="E516" t="str">
        <f t="shared" si="16"/>
        <v>並</v>
      </c>
      <c r="F516" s="7" t="str">
        <f>IF(A516="","",IF(E516="並","-",HLOOKUP(E516,単価表!$B$1:$D$2,2,FALSE)*B516))</f>
        <v>-</v>
      </c>
      <c r="G516" s="7" t="str">
        <f t="shared" ref="G516:G579" si="17">IF(A516="","",IF(E516="並","-",ROUNDUP(F516/50,0)*50))</f>
        <v>-</v>
      </c>
    </row>
    <row r="517" spans="1:7">
      <c r="A517">
        <v>516</v>
      </c>
      <c r="B517">
        <v>1.38</v>
      </c>
      <c r="C517" t="s">
        <v>1</v>
      </c>
      <c r="D517" t="s">
        <v>1</v>
      </c>
      <c r="E517" t="str">
        <f t="shared" si="16"/>
        <v>優</v>
      </c>
      <c r="F517" s="7">
        <f>IF(A517="","",IF(E517="並","-",HLOOKUP(E517,単価表!$B$1:$D$2,2,FALSE)*B517))</f>
        <v>2070</v>
      </c>
      <c r="G517" s="7">
        <f t="shared" si="17"/>
        <v>2100</v>
      </c>
    </row>
    <row r="518" spans="1:7">
      <c r="A518">
        <v>517</v>
      </c>
      <c r="B518">
        <v>2.6739999999999999</v>
      </c>
      <c r="C518" t="s">
        <v>1</v>
      </c>
      <c r="D518" t="s">
        <v>3</v>
      </c>
      <c r="E518" t="str">
        <f t="shared" si="16"/>
        <v>良</v>
      </c>
      <c r="F518" s="7">
        <f>IF(A518="","",IF(E518="並","-",HLOOKUP(E518,単価表!$B$1:$D$2,2,FALSE)*B518))</f>
        <v>3208.7999999999997</v>
      </c>
      <c r="G518" s="7">
        <f t="shared" si="17"/>
        <v>3250</v>
      </c>
    </row>
    <row r="519" spans="1:7">
      <c r="A519">
        <v>518</v>
      </c>
      <c r="B519">
        <v>1.78</v>
      </c>
      <c r="C519" t="s">
        <v>3</v>
      </c>
      <c r="D519" t="s">
        <v>3</v>
      </c>
      <c r="E519" t="str">
        <f t="shared" si="16"/>
        <v>良</v>
      </c>
      <c r="F519" s="7">
        <f>IF(A519="","",IF(E519="並","-",HLOOKUP(E519,単価表!$B$1:$D$2,2,FALSE)*B519))</f>
        <v>2136</v>
      </c>
      <c r="G519" s="7">
        <f t="shared" si="17"/>
        <v>2150</v>
      </c>
    </row>
    <row r="520" spans="1:7">
      <c r="A520">
        <v>519</v>
      </c>
      <c r="B520">
        <v>2.3490000000000002</v>
      </c>
      <c r="C520" t="s">
        <v>5</v>
      </c>
      <c r="D520" t="s">
        <v>3</v>
      </c>
      <c r="E520" t="str">
        <f t="shared" si="16"/>
        <v>並</v>
      </c>
      <c r="F520" s="7" t="str">
        <f>IF(A520="","",IF(E520="並","-",HLOOKUP(E520,単価表!$B$1:$D$2,2,FALSE)*B520))</f>
        <v>-</v>
      </c>
      <c r="G520" s="7" t="str">
        <f t="shared" si="17"/>
        <v>-</v>
      </c>
    </row>
    <row r="521" spans="1:7">
      <c r="A521">
        <v>520</v>
      </c>
      <c r="B521">
        <v>2.0579999999999998</v>
      </c>
      <c r="C521" t="s">
        <v>1</v>
      </c>
      <c r="D521" t="s">
        <v>1</v>
      </c>
      <c r="E521" t="str">
        <f t="shared" si="16"/>
        <v>優</v>
      </c>
      <c r="F521" s="7">
        <f>IF(A521="","",IF(E521="並","-",HLOOKUP(E521,単価表!$B$1:$D$2,2,FALSE)*B521))</f>
        <v>3086.9999999999995</v>
      </c>
      <c r="G521" s="7">
        <f t="shared" si="17"/>
        <v>3100</v>
      </c>
    </row>
    <row r="522" spans="1:7">
      <c r="A522">
        <v>521</v>
      </c>
      <c r="B522">
        <v>2.2719999999999998</v>
      </c>
      <c r="C522" t="s">
        <v>1</v>
      </c>
      <c r="D522" t="s">
        <v>1</v>
      </c>
      <c r="E522" t="str">
        <f t="shared" si="16"/>
        <v>優</v>
      </c>
      <c r="F522" s="7">
        <f>IF(A522="","",IF(E522="並","-",HLOOKUP(E522,単価表!$B$1:$D$2,2,FALSE)*B522))</f>
        <v>3407.9999999999995</v>
      </c>
      <c r="G522" s="7">
        <f t="shared" si="17"/>
        <v>3450</v>
      </c>
    </row>
    <row r="523" spans="1:7">
      <c r="A523">
        <v>522</v>
      </c>
      <c r="B523">
        <v>1.1950000000000001</v>
      </c>
      <c r="C523" t="s">
        <v>1</v>
      </c>
      <c r="D523" t="s">
        <v>3</v>
      </c>
      <c r="E523" t="str">
        <f t="shared" si="16"/>
        <v>良</v>
      </c>
      <c r="F523" s="7">
        <f>IF(A523="","",IF(E523="並","-",HLOOKUP(E523,単価表!$B$1:$D$2,2,FALSE)*B523))</f>
        <v>1434</v>
      </c>
      <c r="G523" s="7">
        <f t="shared" si="17"/>
        <v>1450</v>
      </c>
    </row>
    <row r="524" spans="1:7">
      <c r="A524">
        <v>523</v>
      </c>
      <c r="B524">
        <v>1.0669999999999999</v>
      </c>
      <c r="C524" t="s">
        <v>5</v>
      </c>
      <c r="D524" t="s">
        <v>3</v>
      </c>
      <c r="E524" t="str">
        <f t="shared" si="16"/>
        <v>並</v>
      </c>
      <c r="F524" s="7" t="str">
        <f>IF(A524="","",IF(E524="並","-",HLOOKUP(E524,単価表!$B$1:$D$2,2,FALSE)*B524))</f>
        <v>-</v>
      </c>
      <c r="G524" s="7" t="str">
        <f t="shared" si="17"/>
        <v>-</v>
      </c>
    </row>
    <row r="525" spans="1:7">
      <c r="A525">
        <v>524</v>
      </c>
      <c r="B525">
        <v>1.6919999999999999</v>
      </c>
      <c r="C525" t="s">
        <v>3</v>
      </c>
      <c r="D525" t="s">
        <v>5</v>
      </c>
      <c r="E525" t="str">
        <f t="shared" si="16"/>
        <v>並</v>
      </c>
      <c r="F525" s="7" t="str">
        <f>IF(A525="","",IF(E525="並","-",HLOOKUP(E525,単価表!$B$1:$D$2,2,FALSE)*B525))</f>
        <v>-</v>
      </c>
      <c r="G525" s="7" t="str">
        <f t="shared" si="17"/>
        <v>-</v>
      </c>
    </row>
    <row r="526" spans="1:7">
      <c r="A526">
        <v>525</v>
      </c>
      <c r="B526">
        <v>2.222</v>
      </c>
      <c r="C526" t="s">
        <v>5</v>
      </c>
      <c r="D526" t="s">
        <v>3</v>
      </c>
      <c r="E526" t="str">
        <f t="shared" si="16"/>
        <v>並</v>
      </c>
      <c r="F526" s="7" t="str">
        <f>IF(A526="","",IF(E526="並","-",HLOOKUP(E526,単価表!$B$1:$D$2,2,FALSE)*B526))</f>
        <v>-</v>
      </c>
      <c r="G526" s="7" t="str">
        <f t="shared" si="17"/>
        <v>-</v>
      </c>
    </row>
    <row r="527" spans="1:7">
      <c r="A527">
        <v>526</v>
      </c>
      <c r="B527">
        <v>1.4259999999999999</v>
      </c>
      <c r="C527" t="s">
        <v>3</v>
      </c>
      <c r="D527" t="s">
        <v>5</v>
      </c>
      <c r="E527" t="str">
        <f t="shared" si="16"/>
        <v>並</v>
      </c>
      <c r="F527" s="7" t="str">
        <f>IF(A527="","",IF(E527="並","-",HLOOKUP(E527,単価表!$B$1:$D$2,2,FALSE)*B527))</f>
        <v>-</v>
      </c>
      <c r="G527" s="7" t="str">
        <f t="shared" si="17"/>
        <v>-</v>
      </c>
    </row>
    <row r="528" spans="1:7">
      <c r="A528">
        <v>527</v>
      </c>
      <c r="B528">
        <v>1.2889999999999999</v>
      </c>
      <c r="C528" t="s">
        <v>5</v>
      </c>
      <c r="D528" t="s">
        <v>1</v>
      </c>
      <c r="E528" t="str">
        <f t="shared" si="16"/>
        <v>並</v>
      </c>
      <c r="F528" s="7" t="str">
        <f>IF(A528="","",IF(E528="並","-",HLOOKUP(E528,単価表!$B$1:$D$2,2,FALSE)*B528))</f>
        <v>-</v>
      </c>
      <c r="G528" s="7" t="str">
        <f t="shared" si="17"/>
        <v>-</v>
      </c>
    </row>
    <row r="529" spans="1:7">
      <c r="A529">
        <v>528</v>
      </c>
      <c r="B529">
        <v>1.0249999999999999</v>
      </c>
      <c r="C529" t="s">
        <v>3</v>
      </c>
      <c r="D529" t="s">
        <v>3</v>
      </c>
      <c r="E529" t="str">
        <f t="shared" si="16"/>
        <v>良</v>
      </c>
      <c r="F529" s="7">
        <f>IF(A529="","",IF(E529="並","-",HLOOKUP(E529,単価表!$B$1:$D$2,2,FALSE)*B529))</f>
        <v>1230</v>
      </c>
      <c r="G529" s="7">
        <f t="shared" si="17"/>
        <v>1250</v>
      </c>
    </row>
    <row r="530" spans="1:7">
      <c r="A530">
        <v>529</v>
      </c>
      <c r="B530">
        <v>1.2729999999999999</v>
      </c>
      <c r="C530" t="s">
        <v>3</v>
      </c>
      <c r="D530" t="s">
        <v>3</v>
      </c>
      <c r="E530" t="str">
        <f t="shared" si="16"/>
        <v>良</v>
      </c>
      <c r="F530" s="7">
        <f>IF(A530="","",IF(E530="並","-",HLOOKUP(E530,単価表!$B$1:$D$2,2,FALSE)*B530))</f>
        <v>1527.6</v>
      </c>
      <c r="G530" s="7">
        <f t="shared" si="17"/>
        <v>1550</v>
      </c>
    </row>
    <row r="531" spans="1:7">
      <c r="A531">
        <v>530</v>
      </c>
      <c r="B531">
        <v>2.3620000000000001</v>
      </c>
      <c r="C531" t="s">
        <v>5</v>
      </c>
      <c r="D531" t="s">
        <v>5</v>
      </c>
      <c r="E531" t="str">
        <f t="shared" si="16"/>
        <v>並</v>
      </c>
      <c r="F531" s="7" t="str">
        <f>IF(A531="","",IF(E531="並","-",HLOOKUP(E531,単価表!$B$1:$D$2,2,FALSE)*B531))</f>
        <v>-</v>
      </c>
      <c r="G531" s="7" t="str">
        <f t="shared" si="17"/>
        <v>-</v>
      </c>
    </row>
    <row r="532" spans="1:7">
      <c r="A532">
        <v>531</v>
      </c>
      <c r="B532">
        <v>2.3460000000000001</v>
      </c>
      <c r="C532" t="s">
        <v>5</v>
      </c>
      <c r="D532" t="s">
        <v>3</v>
      </c>
      <c r="E532" t="str">
        <f t="shared" si="16"/>
        <v>並</v>
      </c>
      <c r="F532" s="7" t="str">
        <f>IF(A532="","",IF(E532="並","-",HLOOKUP(E532,単価表!$B$1:$D$2,2,FALSE)*B532))</f>
        <v>-</v>
      </c>
      <c r="G532" s="7" t="str">
        <f t="shared" si="17"/>
        <v>-</v>
      </c>
    </row>
    <row r="533" spans="1:7">
      <c r="A533">
        <v>532</v>
      </c>
      <c r="B533">
        <v>2.589</v>
      </c>
      <c r="C533" t="s">
        <v>5</v>
      </c>
      <c r="D533" t="s">
        <v>5</v>
      </c>
      <c r="E533" t="str">
        <f t="shared" si="16"/>
        <v>並</v>
      </c>
      <c r="F533" s="7" t="str">
        <f>IF(A533="","",IF(E533="並","-",HLOOKUP(E533,単価表!$B$1:$D$2,2,FALSE)*B533))</f>
        <v>-</v>
      </c>
      <c r="G533" s="7" t="str">
        <f t="shared" si="17"/>
        <v>-</v>
      </c>
    </row>
    <row r="534" spans="1:7">
      <c r="A534">
        <v>533</v>
      </c>
      <c r="B534">
        <v>2.0529999999999999</v>
      </c>
      <c r="C534" t="s">
        <v>5</v>
      </c>
      <c r="D534" t="s">
        <v>3</v>
      </c>
      <c r="E534" t="str">
        <f t="shared" si="16"/>
        <v>並</v>
      </c>
      <c r="F534" s="7" t="str">
        <f>IF(A534="","",IF(E534="並","-",HLOOKUP(E534,単価表!$B$1:$D$2,2,FALSE)*B534))</f>
        <v>-</v>
      </c>
      <c r="G534" s="7" t="str">
        <f t="shared" si="17"/>
        <v>-</v>
      </c>
    </row>
    <row r="535" spans="1:7">
      <c r="A535">
        <v>534</v>
      </c>
      <c r="B535">
        <v>1.1870000000000001</v>
      </c>
      <c r="C535" t="s">
        <v>5</v>
      </c>
      <c r="D535" t="s">
        <v>3</v>
      </c>
      <c r="E535" t="str">
        <f t="shared" si="16"/>
        <v>並</v>
      </c>
      <c r="F535" s="7" t="str">
        <f>IF(A535="","",IF(E535="並","-",HLOOKUP(E535,単価表!$B$1:$D$2,2,FALSE)*B535))</f>
        <v>-</v>
      </c>
      <c r="G535" s="7" t="str">
        <f t="shared" si="17"/>
        <v>-</v>
      </c>
    </row>
    <row r="536" spans="1:7">
      <c r="A536">
        <v>535</v>
      </c>
      <c r="B536">
        <v>1.9590000000000001</v>
      </c>
      <c r="C536" t="s">
        <v>5</v>
      </c>
      <c r="D536" t="s">
        <v>1</v>
      </c>
      <c r="E536" t="str">
        <f t="shared" si="16"/>
        <v>並</v>
      </c>
      <c r="F536" s="7" t="str">
        <f>IF(A536="","",IF(E536="並","-",HLOOKUP(E536,単価表!$B$1:$D$2,2,FALSE)*B536))</f>
        <v>-</v>
      </c>
      <c r="G536" s="7" t="str">
        <f t="shared" si="17"/>
        <v>-</v>
      </c>
    </row>
    <row r="537" spans="1:7">
      <c r="A537">
        <v>536</v>
      </c>
      <c r="B537">
        <v>2.4660000000000002</v>
      </c>
      <c r="C537" t="s">
        <v>5</v>
      </c>
      <c r="D537" t="s">
        <v>5</v>
      </c>
      <c r="E537" t="str">
        <f t="shared" si="16"/>
        <v>並</v>
      </c>
      <c r="F537" s="7" t="str">
        <f>IF(A537="","",IF(E537="並","-",HLOOKUP(E537,単価表!$B$1:$D$2,2,FALSE)*B537))</f>
        <v>-</v>
      </c>
      <c r="G537" s="7" t="str">
        <f t="shared" si="17"/>
        <v>-</v>
      </c>
    </row>
    <row r="538" spans="1:7">
      <c r="A538">
        <v>537</v>
      </c>
      <c r="B538">
        <v>1.611</v>
      </c>
      <c r="C538" t="s">
        <v>3</v>
      </c>
      <c r="D538" t="s">
        <v>5</v>
      </c>
      <c r="E538" t="str">
        <f t="shared" si="16"/>
        <v>並</v>
      </c>
      <c r="F538" s="7" t="str">
        <f>IF(A538="","",IF(E538="並","-",HLOOKUP(E538,単価表!$B$1:$D$2,2,FALSE)*B538))</f>
        <v>-</v>
      </c>
      <c r="G538" s="7" t="str">
        <f t="shared" si="17"/>
        <v>-</v>
      </c>
    </row>
    <row r="539" spans="1:7">
      <c r="A539">
        <v>538</v>
      </c>
      <c r="B539">
        <v>1.1559999999999999</v>
      </c>
      <c r="C539" t="s">
        <v>3</v>
      </c>
      <c r="D539" t="s">
        <v>5</v>
      </c>
      <c r="E539" t="str">
        <f t="shared" si="16"/>
        <v>並</v>
      </c>
      <c r="F539" s="7" t="str">
        <f>IF(A539="","",IF(E539="並","-",HLOOKUP(E539,単価表!$B$1:$D$2,2,FALSE)*B539))</f>
        <v>-</v>
      </c>
      <c r="G539" s="7" t="str">
        <f t="shared" si="17"/>
        <v>-</v>
      </c>
    </row>
    <row r="540" spans="1:7">
      <c r="A540">
        <v>539</v>
      </c>
      <c r="B540">
        <v>2.5510000000000002</v>
      </c>
      <c r="C540" t="s">
        <v>1</v>
      </c>
      <c r="D540" t="s">
        <v>3</v>
      </c>
      <c r="E540" t="str">
        <f t="shared" si="16"/>
        <v>良</v>
      </c>
      <c r="F540" s="7">
        <f>IF(A540="","",IF(E540="並","-",HLOOKUP(E540,単価表!$B$1:$D$2,2,FALSE)*B540))</f>
        <v>3061.2000000000003</v>
      </c>
      <c r="G540" s="7">
        <f t="shared" si="17"/>
        <v>3100</v>
      </c>
    </row>
    <row r="541" spans="1:7">
      <c r="A541">
        <v>540</v>
      </c>
      <c r="B541">
        <v>1.3620000000000001</v>
      </c>
      <c r="C541" t="s">
        <v>3</v>
      </c>
      <c r="D541" t="s">
        <v>3</v>
      </c>
      <c r="E541" t="str">
        <f t="shared" si="16"/>
        <v>良</v>
      </c>
      <c r="F541" s="7">
        <f>IF(A541="","",IF(E541="並","-",HLOOKUP(E541,単価表!$B$1:$D$2,2,FALSE)*B541))</f>
        <v>1634.4</v>
      </c>
      <c r="G541" s="7">
        <f t="shared" si="17"/>
        <v>1650</v>
      </c>
    </row>
    <row r="542" spans="1:7">
      <c r="A542">
        <v>541</v>
      </c>
      <c r="B542">
        <v>0.85099999999999998</v>
      </c>
      <c r="C542" t="s">
        <v>1</v>
      </c>
      <c r="D542" t="s">
        <v>3</v>
      </c>
      <c r="E542" t="str">
        <f t="shared" si="16"/>
        <v>良</v>
      </c>
      <c r="F542" s="7">
        <f>IF(A542="","",IF(E542="並","-",HLOOKUP(E542,単価表!$B$1:$D$2,2,FALSE)*B542))</f>
        <v>1021.1999999999999</v>
      </c>
      <c r="G542" s="7">
        <f t="shared" si="17"/>
        <v>1050</v>
      </c>
    </row>
    <row r="543" spans="1:7">
      <c r="A543">
        <v>542</v>
      </c>
      <c r="B543">
        <v>1.643</v>
      </c>
      <c r="C543" t="s">
        <v>3</v>
      </c>
      <c r="D543" t="s">
        <v>5</v>
      </c>
      <c r="E543" t="str">
        <f t="shared" si="16"/>
        <v>並</v>
      </c>
      <c r="F543" s="7" t="str">
        <f>IF(A543="","",IF(E543="並","-",HLOOKUP(E543,単価表!$B$1:$D$2,2,FALSE)*B543))</f>
        <v>-</v>
      </c>
      <c r="G543" s="7" t="str">
        <f t="shared" si="17"/>
        <v>-</v>
      </c>
    </row>
    <row r="544" spans="1:7">
      <c r="A544">
        <v>543</v>
      </c>
      <c r="B544">
        <v>2.552</v>
      </c>
      <c r="C544" t="s">
        <v>1</v>
      </c>
      <c r="D544" t="s">
        <v>3</v>
      </c>
      <c r="E544" t="str">
        <f t="shared" si="16"/>
        <v>良</v>
      </c>
      <c r="F544" s="7">
        <f>IF(A544="","",IF(E544="並","-",HLOOKUP(E544,単価表!$B$1:$D$2,2,FALSE)*B544))</f>
        <v>3062.4</v>
      </c>
      <c r="G544" s="7">
        <f t="shared" si="17"/>
        <v>3100</v>
      </c>
    </row>
    <row r="545" spans="1:7">
      <c r="A545">
        <v>544</v>
      </c>
      <c r="B545">
        <v>2.1360000000000001</v>
      </c>
      <c r="C545" t="s">
        <v>3</v>
      </c>
      <c r="D545" t="s">
        <v>3</v>
      </c>
      <c r="E545" t="str">
        <f t="shared" si="16"/>
        <v>良</v>
      </c>
      <c r="F545" s="7">
        <f>IF(A545="","",IF(E545="並","-",HLOOKUP(E545,単価表!$B$1:$D$2,2,FALSE)*B545))</f>
        <v>2563.2000000000003</v>
      </c>
      <c r="G545" s="7">
        <f t="shared" si="17"/>
        <v>2600</v>
      </c>
    </row>
    <row r="546" spans="1:7">
      <c r="A546">
        <v>545</v>
      </c>
      <c r="B546">
        <v>1.976</v>
      </c>
      <c r="C546" t="s">
        <v>3</v>
      </c>
      <c r="D546" t="s">
        <v>3</v>
      </c>
      <c r="E546" t="str">
        <f t="shared" si="16"/>
        <v>良</v>
      </c>
      <c r="F546" s="7">
        <f>IF(A546="","",IF(E546="並","-",HLOOKUP(E546,単価表!$B$1:$D$2,2,FALSE)*B546))</f>
        <v>2371.1999999999998</v>
      </c>
      <c r="G546" s="7">
        <f t="shared" si="17"/>
        <v>2400</v>
      </c>
    </row>
    <row r="547" spans="1:7">
      <c r="A547">
        <v>546</v>
      </c>
      <c r="B547">
        <v>1.1040000000000001</v>
      </c>
      <c r="C547" t="s">
        <v>1</v>
      </c>
      <c r="D547" t="s">
        <v>1</v>
      </c>
      <c r="E547" t="str">
        <f t="shared" si="16"/>
        <v>優</v>
      </c>
      <c r="F547" s="7">
        <f>IF(A547="","",IF(E547="並","-",HLOOKUP(E547,単価表!$B$1:$D$2,2,FALSE)*B547))</f>
        <v>1656.0000000000002</v>
      </c>
      <c r="G547" s="7">
        <f t="shared" si="17"/>
        <v>1700</v>
      </c>
    </row>
    <row r="548" spans="1:7">
      <c r="A548">
        <v>547</v>
      </c>
      <c r="B548">
        <v>2.988</v>
      </c>
      <c r="C548" t="s">
        <v>3</v>
      </c>
      <c r="D548" t="s">
        <v>1</v>
      </c>
      <c r="E548" t="str">
        <f t="shared" si="16"/>
        <v>良</v>
      </c>
      <c r="F548" s="7">
        <f>IF(A548="","",IF(E548="並","-",HLOOKUP(E548,単価表!$B$1:$D$2,2,FALSE)*B548))</f>
        <v>3585.6</v>
      </c>
      <c r="G548" s="7">
        <f t="shared" si="17"/>
        <v>3600</v>
      </c>
    </row>
    <row r="549" spans="1:7">
      <c r="A549">
        <v>548</v>
      </c>
      <c r="B549">
        <v>0.76500000000000001</v>
      </c>
      <c r="C549" t="s">
        <v>3</v>
      </c>
      <c r="D549" t="s">
        <v>3</v>
      </c>
      <c r="E549" t="str">
        <f t="shared" si="16"/>
        <v>良</v>
      </c>
      <c r="F549" s="7">
        <f>IF(A549="","",IF(E549="並","-",HLOOKUP(E549,単価表!$B$1:$D$2,2,FALSE)*B549))</f>
        <v>918</v>
      </c>
      <c r="G549" s="7">
        <f t="shared" si="17"/>
        <v>950</v>
      </c>
    </row>
    <row r="550" spans="1:7">
      <c r="A550">
        <v>549</v>
      </c>
      <c r="B550">
        <v>2.3010000000000002</v>
      </c>
      <c r="C550" t="s">
        <v>5</v>
      </c>
      <c r="D550" t="s">
        <v>1</v>
      </c>
      <c r="E550" t="str">
        <f t="shared" si="16"/>
        <v>並</v>
      </c>
      <c r="F550" s="7" t="str">
        <f>IF(A550="","",IF(E550="並","-",HLOOKUP(E550,単価表!$B$1:$D$2,2,FALSE)*B550))</f>
        <v>-</v>
      </c>
      <c r="G550" s="7" t="str">
        <f t="shared" si="17"/>
        <v>-</v>
      </c>
    </row>
    <row r="551" spans="1:7">
      <c r="A551">
        <v>550</v>
      </c>
      <c r="B551">
        <v>1.1020000000000001</v>
      </c>
      <c r="C551" t="s">
        <v>1</v>
      </c>
      <c r="D551" t="s">
        <v>5</v>
      </c>
      <c r="E551" t="str">
        <f t="shared" si="16"/>
        <v>並</v>
      </c>
      <c r="F551" s="7" t="str">
        <f>IF(A551="","",IF(E551="並","-",HLOOKUP(E551,単価表!$B$1:$D$2,2,FALSE)*B551))</f>
        <v>-</v>
      </c>
      <c r="G551" s="7" t="str">
        <f t="shared" si="17"/>
        <v>-</v>
      </c>
    </row>
    <row r="552" spans="1:7">
      <c r="A552">
        <v>551</v>
      </c>
      <c r="B552">
        <v>0.72399999999999998</v>
      </c>
      <c r="C552" t="s">
        <v>1</v>
      </c>
      <c r="D552" t="s">
        <v>5</v>
      </c>
      <c r="E552" t="str">
        <f t="shared" si="16"/>
        <v>並</v>
      </c>
      <c r="F552" s="7" t="str">
        <f>IF(A552="","",IF(E552="並","-",HLOOKUP(E552,単価表!$B$1:$D$2,2,FALSE)*B552))</f>
        <v>-</v>
      </c>
      <c r="G552" s="7" t="str">
        <f t="shared" si="17"/>
        <v>-</v>
      </c>
    </row>
    <row r="553" spans="1:7">
      <c r="A553">
        <v>552</v>
      </c>
      <c r="B553">
        <v>2.867</v>
      </c>
      <c r="C553" t="s">
        <v>1</v>
      </c>
      <c r="D553" t="s">
        <v>5</v>
      </c>
      <c r="E553" t="str">
        <f t="shared" si="16"/>
        <v>並</v>
      </c>
      <c r="F553" s="7" t="str">
        <f>IF(A553="","",IF(E553="並","-",HLOOKUP(E553,単価表!$B$1:$D$2,2,FALSE)*B553))</f>
        <v>-</v>
      </c>
      <c r="G553" s="7" t="str">
        <f t="shared" si="17"/>
        <v>-</v>
      </c>
    </row>
    <row r="554" spans="1:7">
      <c r="A554">
        <v>553</v>
      </c>
      <c r="B554">
        <v>0.96699999999999997</v>
      </c>
      <c r="C554" t="s">
        <v>5</v>
      </c>
      <c r="D554" t="s">
        <v>1</v>
      </c>
      <c r="E554" t="str">
        <f t="shared" si="16"/>
        <v>並</v>
      </c>
      <c r="F554" s="7" t="str">
        <f>IF(A554="","",IF(E554="並","-",HLOOKUP(E554,単価表!$B$1:$D$2,2,FALSE)*B554))</f>
        <v>-</v>
      </c>
      <c r="G554" s="7" t="str">
        <f t="shared" si="17"/>
        <v>-</v>
      </c>
    </row>
    <row r="555" spans="1:7">
      <c r="A555">
        <v>554</v>
      </c>
      <c r="B555">
        <v>0.94399999999999995</v>
      </c>
      <c r="C555" t="s">
        <v>3</v>
      </c>
      <c r="D555" t="s">
        <v>1</v>
      </c>
      <c r="E555" t="str">
        <f t="shared" si="16"/>
        <v>良</v>
      </c>
      <c r="F555" s="7">
        <f>IF(A555="","",IF(E555="並","-",HLOOKUP(E555,単価表!$B$1:$D$2,2,FALSE)*B555))</f>
        <v>1132.8</v>
      </c>
      <c r="G555" s="7">
        <f t="shared" si="17"/>
        <v>1150</v>
      </c>
    </row>
    <row r="556" spans="1:7">
      <c r="A556">
        <v>555</v>
      </c>
      <c r="B556">
        <v>0.94799999999999995</v>
      </c>
      <c r="C556" t="s">
        <v>3</v>
      </c>
      <c r="D556" t="s">
        <v>5</v>
      </c>
      <c r="E556" t="str">
        <f t="shared" si="16"/>
        <v>並</v>
      </c>
      <c r="F556" s="7" t="str">
        <f>IF(A556="","",IF(E556="並","-",HLOOKUP(E556,単価表!$B$1:$D$2,2,FALSE)*B556))</f>
        <v>-</v>
      </c>
      <c r="G556" s="7" t="str">
        <f t="shared" si="17"/>
        <v>-</v>
      </c>
    </row>
    <row r="557" spans="1:7">
      <c r="A557">
        <v>556</v>
      </c>
      <c r="B557">
        <v>2.5840000000000001</v>
      </c>
      <c r="C557" t="s">
        <v>3</v>
      </c>
      <c r="D557" t="s">
        <v>1</v>
      </c>
      <c r="E557" t="str">
        <f t="shared" si="16"/>
        <v>良</v>
      </c>
      <c r="F557" s="7">
        <f>IF(A557="","",IF(E557="並","-",HLOOKUP(E557,単価表!$B$1:$D$2,2,FALSE)*B557))</f>
        <v>3100.8</v>
      </c>
      <c r="G557" s="7">
        <f t="shared" si="17"/>
        <v>3150</v>
      </c>
    </row>
    <row r="558" spans="1:7">
      <c r="A558">
        <v>557</v>
      </c>
      <c r="B558">
        <v>0.63</v>
      </c>
      <c r="C558" t="s">
        <v>3</v>
      </c>
      <c r="D558" t="s">
        <v>5</v>
      </c>
      <c r="E558" t="str">
        <f t="shared" si="16"/>
        <v>並</v>
      </c>
      <c r="F558" s="7" t="str">
        <f>IF(A558="","",IF(E558="並","-",HLOOKUP(E558,単価表!$B$1:$D$2,2,FALSE)*B558))</f>
        <v>-</v>
      </c>
      <c r="G558" s="7" t="str">
        <f t="shared" si="17"/>
        <v>-</v>
      </c>
    </row>
    <row r="559" spans="1:7">
      <c r="A559">
        <v>558</v>
      </c>
      <c r="B559">
        <v>1.306</v>
      </c>
      <c r="C559" t="s">
        <v>1</v>
      </c>
      <c r="D559" t="s">
        <v>3</v>
      </c>
      <c r="E559" t="str">
        <f t="shared" si="16"/>
        <v>良</v>
      </c>
      <c r="F559" s="7">
        <f>IF(A559="","",IF(E559="並","-",HLOOKUP(E559,単価表!$B$1:$D$2,2,FALSE)*B559))</f>
        <v>1567.2</v>
      </c>
      <c r="G559" s="7">
        <f t="shared" si="17"/>
        <v>1600</v>
      </c>
    </row>
    <row r="560" spans="1:7">
      <c r="A560">
        <v>559</v>
      </c>
      <c r="B560">
        <v>2.0960000000000001</v>
      </c>
      <c r="C560" t="s">
        <v>3</v>
      </c>
      <c r="D560" t="s">
        <v>1</v>
      </c>
      <c r="E560" t="str">
        <f t="shared" si="16"/>
        <v>良</v>
      </c>
      <c r="F560" s="7">
        <f>IF(A560="","",IF(E560="並","-",HLOOKUP(E560,単価表!$B$1:$D$2,2,FALSE)*B560))</f>
        <v>2515.2000000000003</v>
      </c>
      <c r="G560" s="7">
        <f t="shared" si="17"/>
        <v>2550</v>
      </c>
    </row>
    <row r="561" spans="1:7">
      <c r="A561">
        <v>560</v>
      </c>
      <c r="B561">
        <v>2.8410000000000002</v>
      </c>
      <c r="C561" t="s">
        <v>1</v>
      </c>
      <c r="D561" t="s">
        <v>1</v>
      </c>
      <c r="E561" t="str">
        <f t="shared" si="16"/>
        <v>優</v>
      </c>
      <c r="F561" s="7">
        <f>IF(A561="","",IF(E561="並","-",HLOOKUP(E561,単価表!$B$1:$D$2,2,FALSE)*B561))</f>
        <v>4261.5</v>
      </c>
      <c r="G561" s="7">
        <f t="shared" si="17"/>
        <v>4300</v>
      </c>
    </row>
    <row r="562" spans="1:7">
      <c r="A562">
        <v>561</v>
      </c>
      <c r="B562">
        <v>0.88</v>
      </c>
      <c r="C562" t="s">
        <v>3</v>
      </c>
      <c r="D562" t="s">
        <v>1</v>
      </c>
      <c r="E562" t="str">
        <f t="shared" si="16"/>
        <v>良</v>
      </c>
      <c r="F562" s="7">
        <f>IF(A562="","",IF(E562="並","-",HLOOKUP(E562,単価表!$B$1:$D$2,2,FALSE)*B562))</f>
        <v>1056</v>
      </c>
      <c r="G562" s="7">
        <f t="shared" si="17"/>
        <v>1100</v>
      </c>
    </row>
    <row r="563" spans="1:7">
      <c r="A563">
        <v>562</v>
      </c>
      <c r="B563">
        <v>2.9510000000000001</v>
      </c>
      <c r="C563" t="s">
        <v>1</v>
      </c>
      <c r="D563" t="s">
        <v>3</v>
      </c>
      <c r="E563" t="str">
        <f t="shared" si="16"/>
        <v>良</v>
      </c>
      <c r="F563" s="7">
        <f>IF(A563="","",IF(E563="並","-",HLOOKUP(E563,単価表!$B$1:$D$2,2,FALSE)*B563))</f>
        <v>3541.2000000000003</v>
      </c>
      <c r="G563" s="7">
        <f t="shared" si="17"/>
        <v>3550</v>
      </c>
    </row>
    <row r="564" spans="1:7">
      <c r="A564">
        <v>563</v>
      </c>
      <c r="B564">
        <v>2.3239999999999998</v>
      </c>
      <c r="C564" t="s">
        <v>5</v>
      </c>
      <c r="D564" t="s">
        <v>3</v>
      </c>
      <c r="E564" t="str">
        <f t="shared" si="16"/>
        <v>並</v>
      </c>
      <c r="F564" s="7" t="str">
        <f>IF(A564="","",IF(E564="並","-",HLOOKUP(E564,単価表!$B$1:$D$2,2,FALSE)*B564))</f>
        <v>-</v>
      </c>
      <c r="G564" s="7" t="str">
        <f t="shared" si="17"/>
        <v>-</v>
      </c>
    </row>
    <row r="565" spans="1:7">
      <c r="A565">
        <v>564</v>
      </c>
      <c r="B565">
        <v>2.2010000000000001</v>
      </c>
      <c r="C565" t="s">
        <v>3</v>
      </c>
      <c r="D565" t="s">
        <v>3</v>
      </c>
      <c r="E565" t="str">
        <f t="shared" si="16"/>
        <v>良</v>
      </c>
      <c r="F565" s="7">
        <f>IF(A565="","",IF(E565="並","-",HLOOKUP(E565,単価表!$B$1:$D$2,2,FALSE)*B565))</f>
        <v>2641.2000000000003</v>
      </c>
      <c r="G565" s="7">
        <f t="shared" si="17"/>
        <v>2650</v>
      </c>
    </row>
    <row r="566" spans="1:7">
      <c r="A566">
        <v>565</v>
      </c>
      <c r="B566">
        <v>1.27</v>
      </c>
      <c r="C566" t="s">
        <v>3</v>
      </c>
      <c r="D566" t="s">
        <v>1</v>
      </c>
      <c r="E566" t="str">
        <f t="shared" si="16"/>
        <v>良</v>
      </c>
      <c r="F566" s="7">
        <f>IF(A566="","",IF(E566="並","-",HLOOKUP(E566,単価表!$B$1:$D$2,2,FALSE)*B566))</f>
        <v>1524</v>
      </c>
      <c r="G566" s="7">
        <f t="shared" si="17"/>
        <v>1550</v>
      </c>
    </row>
    <row r="567" spans="1:7">
      <c r="A567">
        <v>566</v>
      </c>
      <c r="B567">
        <v>0.78400000000000003</v>
      </c>
      <c r="C567" t="s">
        <v>1</v>
      </c>
      <c r="D567" t="s">
        <v>3</v>
      </c>
      <c r="E567" t="str">
        <f t="shared" si="16"/>
        <v>良</v>
      </c>
      <c r="F567" s="7">
        <f>IF(A567="","",IF(E567="並","-",HLOOKUP(E567,単価表!$B$1:$D$2,2,FALSE)*B567))</f>
        <v>940.80000000000007</v>
      </c>
      <c r="G567" s="7">
        <f t="shared" si="17"/>
        <v>950</v>
      </c>
    </row>
    <row r="568" spans="1:7">
      <c r="A568">
        <v>567</v>
      </c>
      <c r="B568">
        <v>1.9139999999999999</v>
      </c>
      <c r="C568" t="s">
        <v>3</v>
      </c>
      <c r="D568" t="s">
        <v>1</v>
      </c>
      <c r="E568" t="str">
        <f t="shared" si="16"/>
        <v>良</v>
      </c>
      <c r="F568" s="7">
        <f>IF(A568="","",IF(E568="並","-",HLOOKUP(E568,単価表!$B$1:$D$2,2,FALSE)*B568))</f>
        <v>2296.7999999999997</v>
      </c>
      <c r="G568" s="7">
        <f t="shared" si="17"/>
        <v>2300</v>
      </c>
    </row>
    <row r="569" spans="1:7">
      <c r="A569">
        <v>568</v>
      </c>
      <c r="B569">
        <v>1.1339999999999999</v>
      </c>
      <c r="C569" t="s">
        <v>3</v>
      </c>
      <c r="D569" t="s">
        <v>1</v>
      </c>
      <c r="E569" t="str">
        <f t="shared" si="16"/>
        <v>良</v>
      </c>
      <c r="F569" s="7">
        <f>IF(A569="","",IF(E569="並","-",HLOOKUP(E569,単価表!$B$1:$D$2,2,FALSE)*B569))</f>
        <v>1360.8</v>
      </c>
      <c r="G569" s="7">
        <f t="shared" si="17"/>
        <v>1400</v>
      </c>
    </row>
    <row r="570" spans="1:7">
      <c r="A570">
        <v>569</v>
      </c>
      <c r="B570">
        <v>2.4060000000000001</v>
      </c>
      <c r="C570" t="s">
        <v>3</v>
      </c>
      <c r="D570" t="s">
        <v>1</v>
      </c>
      <c r="E570" t="str">
        <f t="shared" si="16"/>
        <v>良</v>
      </c>
      <c r="F570" s="7">
        <f>IF(A570="","",IF(E570="並","-",HLOOKUP(E570,単価表!$B$1:$D$2,2,FALSE)*B570))</f>
        <v>2887.2000000000003</v>
      </c>
      <c r="G570" s="7">
        <f t="shared" si="17"/>
        <v>2900</v>
      </c>
    </row>
    <row r="571" spans="1:7">
      <c r="A571">
        <v>570</v>
      </c>
      <c r="B571">
        <v>2.7469999999999999</v>
      </c>
      <c r="C571" t="s">
        <v>3</v>
      </c>
      <c r="D571" t="s">
        <v>5</v>
      </c>
      <c r="E571" t="str">
        <f t="shared" si="16"/>
        <v>並</v>
      </c>
      <c r="F571" s="7" t="str">
        <f>IF(A571="","",IF(E571="並","-",HLOOKUP(E571,単価表!$B$1:$D$2,2,FALSE)*B571))</f>
        <v>-</v>
      </c>
      <c r="G571" s="7" t="str">
        <f t="shared" si="17"/>
        <v>-</v>
      </c>
    </row>
    <row r="572" spans="1:7">
      <c r="A572">
        <v>571</v>
      </c>
      <c r="B572">
        <v>0.65600000000000003</v>
      </c>
      <c r="C572" t="s">
        <v>5</v>
      </c>
      <c r="D572" t="s">
        <v>3</v>
      </c>
      <c r="E572" t="str">
        <f t="shared" si="16"/>
        <v>並</v>
      </c>
      <c r="F572" s="7" t="str">
        <f>IF(A572="","",IF(E572="並","-",HLOOKUP(E572,単価表!$B$1:$D$2,2,FALSE)*B572))</f>
        <v>-</v>
      </c>
      <c r="G572" s="7" t="str">
        <f t="shared" si="17"/>
        <v>-</v>
      </c>
    </row>
    <row r="573" spans="1:7">
      <c r="A573">
        <v>572</v>
      </c>
      <c r="B573">
        <v>1.2609999999999999</v>
      </c>
      <c r="C573" t="s">
        <v>3</v>
      </c>
      <c r="D573" t="s">
        <v>3</v>
      </c>
      <c r="E573" t="str">
        <f t="shared" si="16"/>
        <v>良</v>
      </c>
      <c r="F573" s="7">
        <f>IF(A573="","",IF(E573="並","-",HLOOKUP(E573,単価表!$B$1:$D$2,2,FALSE)*B573))</f>
        <v>1513.1999999999998</v>
      </c>
      <c r="G573" s="7">
        <f t="shared" si="17"/>
        <v>1550</v>
      </c>
    </row>
    <row r="574" spans="1:7">
      <c r="A574">
        <v>573</v>
      </c>
      <c r="B574">
        <v>0.56899999999999995</v>
      </c>
      <c r="C574" t="s">
        <v>5</v>
      </c>
      <c r="D574" t="s">
        <v>5</v>
      </c>
      <c r="E574" t="str">
        <f t="shared" si="16"/>
        <v>並</v>
      </c>
      <c r="F574" s="7" t="str">
        <f>IF(A574="","",IF(E574="並","-",HLOOKUP(E574,単価表!$B$1:$D$2,2,FALSE)*B574))</f>
        <v>-</v>
      </c>
      <c r="G574" s="7" t="str">
        <f t="shared" si="17"/>
        <v>-</v>
      </c>
    </row>
    <row r="575" spans="1:7">
      <c r="A575">
        <v>574</v>
      </c>
      <c r="B575">
        <v>1.8169999999999999</v>
      </c>
      <c r="C575" t="s">
        <v>3</v>
      </c>
      <c r="D575" t="s">
        <v>3</v>
      </c>
      <c r="E575" t="str">
        <f t="shared" si="16"/>
        <v>良</v>
      </c>
      <c r="F575" s="7">
        <f>IF(A575="","",IF(E575="並","-",HLOOKUP(E575,単価表!$B$1:$D$2,2,FALSE)*B575))</f>
        <v>2180.4</v>
      </c>
      <c r="G575" s="7">
        <f t="shared" si="17"/>
        <v>2200</v>
      </c>
    </row>
    <row r="576" spans="1:7">
      <c r="A576">
        <v>575</v>
      </c>
      <c r="B576">
        <v>1.3879999999999999</v>
      </c>
      <c r="C576" t="s">
        <v>5</v>
      </c>
      <c r="D576" t="s">
        <v>3</v>
      </c>
      <c r="E576" t="str">
        <f t="shared" si="16"/>
        <v>並</v>
      </c>
      <c r="F576" s="7" t="str">
        <f>IF(A576="","",IF(E576="並","-",HLOOKUP(E576,単価表!$B$1:$D$2,2,FALSE)*B576))</f>
        <v>-</v>
      </c>
      <c r="G576" s="7" t="str">
        <f t="shared" si="17"/>
        <v>-</v>
      </c>
    </row>
    <row r="577" spans="1:7">
      <c r="A577">
        <v>576</v>
      </c>
      <c r="B577">
        <v>2.532</v>
      </c>
      <c r="C577" t="s">
        <v>1</v>
      </c>
      <c r="D577" t="s">
        <v>1</v>
      </c>
      <c r="E577" t="str">
        <f t="shared" si="16"/>
        <v>優</v>
      </c>
      <c r="F577" s="7">
        <f>IF(A577="","",IF(E577="並","-",HLOOKUP(E577,単価表!$B$1:$D$2,2,FALSE)*B577))</f>
        <v>3798</v>
      </c>
      <c r="G577" s="7">
        <f t="shared" si="17"/>
        <v>3800</v>
      </c>
    </row>
    <row r="578" spans="1:7">
      <c r="A578">
        <v>577</v>
      </c>
      <c r="B578">
        <v>0.70499999999999996</v>
      </c>
      <c r="C578" t="s">
        <v>3</v>
      </c>
      <c r="D578" t="s">
        <v>5</v>
      </c>
      <c r="E578" t="str">
        <f t="shared" si="16"/>
        <v>並</v>
      </c>
      <c r="F578" s="7" t="str">
        <f>IF(A578="","",IF(E578="並","-",HLOOKUP(E578,単価表!$B$1:$D$2,2,FALSE)*B578))</f>
        <v>-</v>
      </c>
      <c r="G578" s="7" t="str">
        <f t="shared" si="17"/>
        <v>-</v>
      </c>
    </row>
    <row r="579" spans="1:7">
      <c r="A579">
        <v>578</v>
      </c>
      <c r="B579">
        <v>2.056</v>
      </c>
      <c r="C579" t="s">
        <v>3</v>
      </c>
      <c r="D579" t="s">
        <v>1</v>
      </c>
      <c r="E579" t="str">
        <f t="shared" ref="E579:E642" si="18">IF(A579="","",IF(OR(C579="並",D579="並"),"並",IF(OR(C579="良",D579="良"),"良","優")))</f>
        <v>良</v>
      </c>
      <c r="F579" s="7">
        <f>IF(A579="","",IF(E579="並","-",HLOOKUP(E579,単価表!$B$1:$D$2,2,FALSE)*B579))</f>
        <v>2467.2000000000003</v>
      </c>
      <c r="G579" s="7">
        <f t="shared" si="17"/>
        <v>2500</v>
      </c>
    </row>
    <row r="580" spans="1:7">
      <c r="A580">
        <v>579</v>
      </c>
      <c r="B580">
        <v>1.33</v>
      </c>
      <c r="C580" t="s">
        <v>3</v>
      </c>
      <c r="D580" t="s">
        <v>1</v>
      </c>
      <c r="E580" t="str">
        <f t="shared" si="18"/>
        <v>良</v>
      </c>
      <c r="F580" s="7">
        <f>IF(A580="","",IF(E580="並","-",HLOOKUP(E580,単価表!$B$1:$D$2,2,FALSE)*B580))</f>
        <v>1596</v>
      </c>
      <c r="G580" s="7">
        <f t="shared" ref="G580:G643" si="19">IF(A580="","",IF(E580="並","-",ROUNDUP(F580/50,0)*50))</f>
        <v>1600</v>
      </c>
    </row>
    <row r="581" spans="1:7">
      <c r="A581">
        <v>580</v>
      </c>
      <c r="B581">
        <v>0.92900000000000005</v>
      </c>
      <c r="C581" t="s">
        <v>5</v>
      </c>
      <c r="D581" t="s">
        <v>3</v>
      </c>
      <c r="E581" t="str">
        <f t="shared" si="18"/>
        <v>並</v>
      </c>
      <c r="F581" s="7" t="str">
        <f>IF(A581="","",IF(E581="並","-",HLOOKUP(E581,単価表!$B$1:$D$2,2,FALSE)*B581))</f>
        <v>-</v>
      </c>
      <c r="G581" s="7" t="str">
        <f t="shared" si="19"/>
        <v>-</v>
      </c>
    </row>
    <row r="582" spans="1:7">
      <c r="A582">
        <v>581</v>
      </c>
      <c r="B582">
        <v>1.8029999999999999</v>
      </c>
      <c r="C582" t="s">
        <v>3</v>
      </c>
      <c r="D582" t="s">
        <v>1</v>
      </c>
      <c r="E582" t="str">
        <f t="shared" si="18"/>
        <v>良</v>
      </c>
      <c r="F582" s="7">
        <f>IF(A582="","",IF(E582="並","-",HLOOKUP(E582,単価表!$B$1:$D$2,2,FALSE)*B582))</f>
        <v>2163.6</v>
      </c>
      <c r="G582" s="7">
        <f t="shared" si="19"/>
        <v>2200</v>
      </c>
    </row>
    <row r="583" spans="1:7">
      <c r="A583">
        <v>582</v>
      </c>
      <c r="B583">
        <v>1.155</v>
      </c>
      <c r="C583" t="s">
        <v>3</v>
      </c>
      <c r="D583" t="s">
        <v>1</v>
      </c>
      <c r="E583" t="str">
        <f t="shared" si="18"/>
        <v>良</v>
      </c>
      <c r="F583" s="7">
        <f>IF(A583="","",IF(E583="並","-",HLOOKUP(E583,単価表!$B$1:$D$2,2,FALSE)*B583))</f>
        <v>1386</v>
      </c>
      <c r="G583" s="7">
        <f t="shared" si="19"/>
        <v>1400</v>
      </c>
    </row>
    <row r="584" spans="1:7">
      <c r="A584">
        <v>583</v>
      </c>
      <c r="B584">
        <v>1.9019999999999999</v>
      </c>
      <c r="C584" t="s">
        <v>5</v>
      </c>
      <c r="D584" t="s">
        <v>5</v>
      </c>
      <c r="E584" t="str">
        <f t="shared" si="18"/>
        <v>並</v>
      </c>
      <c r="F584" s="7" t="str">
        <f>IF(A584="","",IF(E584="並","-",HLOOKUP(E584,単価表!$B$1:$D$2,2,FALSE)*B584))</f>
        <v>-</v>
      </c>
      <c r="G584" s="7" t="str">
        <f t="shared" si="19"/>
        <v>-</v>
      </c>
    </row>
    <row r="585" spans="1:7">
      <c r="A585">
        <v>584</v>
      </c>
      <c r="B585">
        <v>0.90200000000000002</v>
      </c>
      <c r="C585" t="s">
        <v>1</v>
      </c>
      <c r="D585" t="s">
        <v>1</v>
      </c>
      <c r="E585" t="str">
        <f t="shared" si="18"/>
        <v>優</v>
      </c>
      <c r="F585" s="7">
        <f>IF(A585="","",IF(E585="並","-",HLOOKUP(E585,単価表!$B$1:$D$2,2,FALSE)*B585))</f>
        <v>1353</v>
      </c>
      <c r="G585" s="7">
        <f t="shared" si="19"/>
        <v>1400</v>
      </c>
    </row>
    <row r="586" spans="1:7">
      <c r="A586">
        <v>585</v>
      </c>
      <c r="B586">
        <v>1.7350000000000001</v>
      </c>
      <c r="C586" t="s">
        <v>5</v>
      </c>
      <c r="D586" t="s">
        <v>3</v>
      </c>
      <c r="E586" t="str">
        <f t="shared" si="18"/>
        <v>並</v>
      </c>
      <c r="F586" s="7" t="str">
        <f>IF(A586="","",IF(E586="並","-",HLOOKUP(E586,単価表!$B$1:$D$2,2,FALSE)*B586))</f>
        <v>-</v>
      </c>
      <c r="G586" s="7" t="str">
        <f t="shared" si="19"/>
        <v>-</v>
      </c>
    </row>
    <row r="587" spans="1:7">
      <c r="A587">
        <v>586</v>
      </c>
      <c r="B587">
        <v>1.113</v>
      </c>
      <c r="C587" t="s">
        <v>1</v>
      </c>
      <c r="D587" t="s">
        <v>5</v>
      </c>
      <c r="E587" t="str">
        <f t="shared" si="18"/>
        <v>並</v>
      </c>
      <c r="F587" s="7" t="str">
        <f>IF(A587="","",IF(E587="並","-",HLOOKUP(E587,単価表!$B$1:$D$2,2,FALSE)*B587))</f>
        <v>-</v>
      </c>
      <c r="G587" s="7" t="str">
        <f t="shared" si="19"/>
        <v>-</v>
      </c>
    </row>
    <row r="588" spans="1:7">
      <c r="A588">
        <v>587</v>
      </c>
      <c r="B588">
        <v>2.1309999999999998</v>
      </c>
      <c r="C588" t="s">
        <v>3</v>
      </c>
      <c r="D588" t="s">
        <v>5</v>
      </c>
      <c r="E588" t="str">
        <f t="shared" si="18"/>
        <v>並</v>
      </c>
      <c r="F588" s="7" t="str">
        <f>IF(A588="","",IF(E588="並","-",HLOOKUP(E588,単価表!$B$1:$D$2,2,FALSE)*B588))</f>
        <v>-</v>
      </c>
      <c r="G588" s="7" t="str">
        <f t="shared" si="19"/>
        <v>-</v>
      </c>
    </row>
    <row r="589" spans="1:7">
      <c r="A589">
        <v>588</v>
      </c>
      <c r="B589">
        <v>0.752</v>
      </c>
      <c r="C589" t="s">
        <v>5</v>
      </c>
      <c r="D589" t="s">
        <v>3</v>
      </c>
      <c r="E589" t="str">
        <f t="shared" si="18"/>
        <v>並</v>
      </c>
      <c r="F589" s="7" t="str">
        <f>IF(A589="","",IF(E589="並","-",HLOOKUP(E589,単価表!$B$1:$D$2,2,FALSE)*B589))</f>
        <v>-</v>
      </c>
      <c r="G589" s="7" t="str">
        <f t="shared" si="19"/>
        <v>-</v>
      </c>
    </row>
    <row r="590" spans="1:7">
      <c r="A590">
        <v>589</v>
      </c>
      <c r="B590">
        <v>2.7280000000000002</v>
      </c>
      <c r="C590" t="s">
        <v>1</v>
      </c>
      <c r="D590" t="s">
        <v>1</v>
      </c>
      <c r="E590" t="str">
        <f t="shared" si="18"/>
        <v>優</v>
      </c>
      <c r="F590" s="7">
        <f>IF(A590="","",IF(E590="並","-",HLOOKUP(E590,単価表!$B$1:$D$2,2,FALSE)*B590))</f>
        <v>4092.0000000000005</v>
      </c>
      <c r="G590" s="7">
        <f t="shared" si="19"/>
        <v>4100</v>
      </c>
    </row>
    <row r="591" spans="1:7">
      <c r="A591">
        <v>590</v>
      </c>
      <c r="B591">
        <v>0.76400000000000001</v>
      </c>
      <c r="C591" t="s">
        <v>1</v>
      </c>
      <c r="D591" t="s">
        <v>1</v>
      </c>
      <c r="E591" t="str">
        <f t="shared" si="18"/>
        <v>優</v>
      </c>
      <c r="F591" s="7">
        <f>IF(A591="","",IF(E591="並","-",HLOOKUP(E591,単価表!$B$1:$D$2,2,FALSE)*B591))</f>
        <v>1146</v>
      </c>
      <c r="G591" s="7">
        <f t="shared" si="19"/>
        <v>1150</v>
      </c>
    </row>
    <row r="592" spans="1:7">
      <c r="A592">
        <v>591</v>
      </c>
      <c r="B592">
        <v>1.8360000000000001</v>
      </c>
      <c r="C592" t="s">
        <v>1</v>
      </c>
      <c r="D592" t="s">
        <v>3</v>
      </c>
      <c r="E592" t="str">
        <f t="shared" si="18"/>
        <v>良</v>
      </c>
      <c r="F592" s="7">
        <f>IF(A592="","",IF(E592="並","-",HLOOKUP(E592,単価表!$B$1:$D$2,2,FALSE)*B592))</f>
        <v>2203.2000000000003</v>
      </c>
      <c r="G592" s="7">
        <f t="shared" si="19"/>
        <v>2250</v>
      </c>
    </row>
    <row r="593" spans="1:7">
      <c r="A593">
        <v>592</v>
      </c>
      <c r="B593">
        <v>2.8980000000000001</v>
      </c>
      <c r="C593" t="s">
        <v>5</v>
      </c>
      <c r="D593" t="s">
        <v>5</v>
      </c>
      <c r="E593" t="str">
        <f t="shared" si="18"/>
        <v>並</v>
      </c>
      <c r="F593" s="7" t="str">
        <f>IF(A593="","",IF(E593="並","-",HLOOKUP(E593,単価表!$B$1:$D$2,2,FALSE)*B593))</f>
        <v>-</v>
      </c>
      <c r="G593" s="7" t="str">
        <f t="shared" si="19"/>
        <v>-</v>
      </c>
    </row>
    <row r="594" spans="1:7">
      <c r="A594">
        <v>593</v>
      </c>
      <c r="B594">
        <v>1.5469999999999999</v>
      </c>
      <c r="C594" t="s">
        <v>1</v>
      </c>
      <c r="D594" t="s">
        <v>3</v>
      </c>
      <c r="E594" t="str">
        <f t="shared" si="18"/>
        <v>良</v>
      </c>
      <c r="F594" s="7">
        <f>IF(A594="","",IF(E594="並","-",HLOOKUP(E594,単価表!$B$1:$D$2,2,FALSE)*B594))</f>
        <v>1856.3999999999999</v>
      </c>
      <c r="G594" s="7">
        <f t="shared" si="19"/>
        <v>1900</v>
      </c>
    </row>
    <row r="595" spans="1:7">
      <c r="A595">
        <v>594</v>
      </c>
      <c r="B595">
        <v>1.819</v>
      </c>
      <c r="C595" t="s">
        <v>3</v>
      </c>
      <c r="D595" t="s">
        <v>5</v>
      </c>
      <c r="E595" t="str">
        <f t="shared" si="18"/>
        <v>並</v>
      </c>
      <c r="F595" s="7" t="str">
        <f>IF(A595="","",IF(E595="並","-",HLOOKUP(E595,単価表!$B$1:$D$2,2,FALSE)*B595))</f>
        <v>-</v>
      </c>
      <c r="G595" s="7" t="str">
        <f t="shared" si="19"/>
        <v>-</v>
      </c>
    </row>
    <row r="596" spans="1:7">
      <c r="A596">
        <v>595</v>
      </c>
      <c r="B596">
        <v>1.857</v>
      </c>
      <c r="C596" t="s">
        <v>3</v>
      </c>
      <c r="D596" t="s">
        <v>1</v>
      </c>
      <c r="E596" t="str">
        <f t="shared" si="18"/>
        <v>良</v>
      </c>
      <c r="F596" s="7">
        <f>IF(A596="","",IF(E596="並","-",HLOOKUP(E596,単価表!$B$1:$D$2,2,FALSE)*B596))</f>
        <v>2228.4</v>
      </c>
      <c r="G596" s="7">
        <f t="shared" si="19"/>
        <v>2250</v>
      </c>
    </row>
    <row r="597" spans="1:7">
      <c r="A597">
        <v>596</v>
      </c>
      <c r="B597">
        <v>0.69099999999999995</v>
      </c>
      <c r="C597" t="s">
        <v>5</v>
      </c>
      <c r="D597" t="s">
        <v>3</v>
      </c>
      <c r="E597" t="str">
        <f t="shared" si="18"/>
        <v>並</v>
      </c>
      <c r="F597" s="7" t="str">
        <f>IF(A597="","",IF(E597="並","-",HLOOKUP(E597,単価表!$B$1:$D$2,2,FALSE)*B597))</f>
        <v>-</v>
      </c>
      <c r="G597" s="7" t="str">
        <f t="shared" si="19"/>
        <v>-</v>
      </c>
    </row>
    <row r="598" spans="1:7">
      <c r="A598">
        <v>597</v>
      </c>
      <c r="B598">
        <v>2.3959999999999999</v>
      </c>
      <c r="C598" t="s">
        <v>1</v>
      </c>
      <c r="D598" t="s">
        <v>5</v>
      </c>
      <c r="E598" t="str">
        <f t="shared" si="18"/>
        <v>並</v>
      </c>
      <c r="F598" s="7" t="str">
        <f>IF(A598="","",IF(E598="並","-",HLOOKUP(E598,単価表!$B$1:$D$2,2,FALSE)*B598))</f>
        <v>-</v>
      </c>
      <c r="G598" s="7" t="str">
        <f t="shared" si="19"/>
        <v>-</v>
      </c>
    </row>
    <row r="599" spans="1:7">
      <c r="A599">
        <v>598</v>
      </c>
      <c r="B599">
        <v>2.4239999999999999</v>
      </c>
      <c r="C599" t="s">
        <v>3</v>
      </c>
      <c r="D599" t="s">
        <v>5</v>
      </c>
      <c r="E599" t="str">
        <f t="shared" si="18"/>
        <v>並</v>
      </c>
      <c r="F599" s="7" t="str">
        <f>IF(A599="","",IF(E599="並","-",HLOOKUP(E599,単価表!$B$1:$D$2,2,FALSE)*B599))</f>
        <v>-</v>
      </c>
      <c r="G599" s="7" t="str">
        <f t="shared" si="19"/>
        <v>-</v>
      </c>
    </row>
    <row r="600" spans="1:7">
      <c r="A600">
        <v>599</v>
      </c>
      <c r="B600">
        <v>1.242</v>
      </c>
      <c r="C600" t="s">
        <v>1</v>
      </c>
      <c r="D600" t="s">
        <v>5</v>
      </c>
      <c r="E600" t="str">
        <f t="shared" si="18"/>
        <v>並</v>
      </c>
      <c r="F600" s="7" t="str">
        <f>IF(A600="","",IF(E600="並","-",HLOOKUP(E600,単価表!$B$1:$D$2,2,FALSE)*B600))</f>
        <v>-</v>
      </c>
      <c r="G600" s="7" t="str">
        <f t="shared" si="19"/>
        <v>-</v>
      </c>
    </row>
    <row r="601" spans="1:7">
      <c r="A601">
        <v>600</v>
      </c>
      <c r="B601">
        <v>1.282</v>
      </c>
      <c r="C601" t="s">
        <v>5</v>
      </c>
      <c r="D601" t="s">
        <v>5</v>
      </c>
      <c r="E601" t="str">
        <f t="shared" si="18"/>
        <v>並</v>
      </c>
      <c r="F601" s="7" t="str">
        <f>IF(A601="","",IF(E601="並","-",HLOOKUP(E601,単価表!$B$1:$D$2,2,FALSE)*B601))</f>
        <v>-</v>
      </c>
      <c r="G601" s="7" t="str">
        <f t="shared" si="19"/>
        <v>-</v>
      </c>
    </row>
    <row r="602" spans="1:7">
      <c r="A602">
        <v>601</v>
      </c>
      <c r="B602">
        <v>2.91</v>
      </c>
      <c r="C602" t="s">
        <v>3</v>
      </c>
      <c r="D602" t="s">
        <v>3</v>
      </c>
      <c r="E602" t="str">
        <f t="shared" si="18"/>
        <v>良</v>
      </c>
      <c r="F602" s="7">
        <f>IF(A602="","",IF(E602="並","-",HLOOKUP(E602,単価表!$B$1:$D$2,2,FALSE)*B602))</f>
        <v>3492</v>
      </c>
      <c r="G602" s="7">
        <f t="shared" si="19"/>
        <v>3500</v>
      </c>
    </row>
    <row r="603" spans="1:7">
      <c r="A603">
        <v>602</v>
      </c>
      <c r="B603">
        <v>2.9910000000000001</v>
      </c>
      <c r="C603" t="s">
        <v>3</v>
      </c>
      <c r="D603" t="s">
        <v>3</v>
      </c>
      <c r="E603" t="str">
        <f t="shared" si="18"/>
        <v>良</v>
      </c>
      <c r="F603" s="7">
        <f>IF(A603="","",IF(E603="並","-",HLOOKUP(E603,単価表!$B$1:$D$2,2,FALSE)*B603))</f>
        <v>3589.2000000000003</v>
      </c>
      <c r="G603" s="7">
        <f t="shared" si="19"/>
        <v>3600</v>
      </c>
    </row>
    <row r="604" spans="1:7">
      <c r="A604">
        <v>603</v>
      </c>
      <c r="B604">
        <v>2.3889999999999998</v>
      </c>
      <c r="C604" t="s">
        <v>3</v>
      </c>
      <c r="D604" t="s">
        <v>1</v>
      </c>
      <c r="E604" t="str">
        <f t="shared" si="18"/>
        <v>良</v>
      </c>
      <c r="F604" s="7">
        <f>IF(A604="","",IF(E604="並","-",HLOOKUP(E604,単価表!$B$1:$D$2,2,FALSE)*B604))</f>
        <v>2866.7999999999997</v>
      </c>
      <c r="G604" s="7">
        <f t="shared" si="19"/>
        <v>2900</v>
      </c>
    </row>
    <row r="605" spans="1:7">
      <c r="A605">
        <v>604</v>
      </c>
      <c r="B605">
        <v>2.0409999999999999</v>
      </c>
      <c r="C605" t="s">
        <v>3</v>
      </c>
      <c r="D605" t="s">
        <v>5</v>
      </c>
      <c r="E605" t="str">
        <f t="shared" si="18"/>
        <v>並</v>
      </c>
      <c r="F605" s="7" t="str">
        <f>IF(A605="","",IF(E605="並","-",HLOOKUP(E605,単価表!$B$1:$D$2,2,FALSE)*B605))</f>
        <v>-</v>
      </c>
      <c r="G605" s="7" t="str">
        <f t="shared" si="19"/>
        <v>-</v>
      </c>
    </row>
    <row r="606" spans="1:7">
      <c r="A606">
        <v>605</v>
      </c>
      <c r="B606">
        <v>2.9540000000000002</v>
      </c>
      <c r="C606" t="s">
        <v>5</v>
      </c>
      <c r="D606" t="s">
        <v>5</v>
      </c>
      <c r="E606" t="str">
        <f t="shared" si="18"/>
        <v>並</v>
      </c>
      <c r="F606" s="7" t="str">
        <f>IF(A606="","",IF(E606="並","-",HLOOKUP(E606,単価表!$B$1:$D$2,2,FALSE)*B606))</f>
        <v>-</v>
      </c>
      <c r="G606" s="7" t="str">
        <f t="shared" si="19"/>
        <v>-</v>
      </c>
    </row>
    <row r="607" spans="1:7">
      <c r="A607">
        <v>606</v>
      </c>
      <c r="B607">
        <v>2.3969999999999998</v>
      </c>
      <c r="C607" t="s">
        <v>3</v>
      </c>
      <c r="D607" t="s">
        <v>3</v>
      </c>
      <c r="E607" t="str">
        <f t="shared" si="18"/>
        <v>良</v>
      </c>
      <c r="F607" s="7">
        <f>IF(A607="","",IF(E607="並","-",HLOOKUP(E607,単価表!$B$1:$D$2,2,FALSE)*B607))</f>
        <v>2876.3999999999996</v>
      </c>
      <c r="G607" s="7">
        <f t="shared" si="19"/>
        <v>2900</v>
      </c>
    </row>
    <row r="608" spans="1:7">
      <c r="A608">
        <v>607</v>
      </c>
      <c r="B608">
        <v>1.512</v>
      </c>
      <c r="C608" t="s">
        <v>3</v>
      </c>
      <c r="D608" t="s">
        <v>3</v>
      </c>
      <c r="E608" t="str">
        <f t="shared" si="18"/>
        <v>良</v>
      </c>
      <c r="F608" s="7">
        <f>IF(A608="","",IF(E608="並","-",HLOOKUP(E608,単価表!$B$1:$D$2,2,FALSE)*B608))</f>
        <v>1814.4</v>
      </c>
      <c r="G608" s="7">
        <f t="shared" si="19"/>
        <v>1850</v>
      </c>
    </row>
    <row r="609" spans="1:7">
      <c r="A609">
        <v>608</v>
      </c>
      <c r="B609">
        <v>1.669</v>
      </c>
      <c r="C609" t="s">
        <v>5</v>
      </c>
      <c r="D609" t="s">
        <v>5</v>
      </c>
      <c r="E609" t="str">
        <f t="shared" si="18"/>
        <v>並</v>
      </c>
      <c r="F609" s="7" t="str">
        <f>IF(A609="","",IF(E609="並","-",HLOOKUP(E609,単価表!$B$1:$D$2,2,FALSE)*B609))</f>
        <v>-</v>
      </c>
      <c r="G609" s="7" t="str">
        <f t="shared" si="19"/>
        <v>-</v>
      </c>
    </row>
    <row r="610" spans="1:7">
      <c r="A610">
        <v>609</v>
      </c>
      <c r="B610">
        <v>1.0860000000000001</v>
      </c>
      <c r="C610" t="s">
        <v>5</v>
      </c>
      <c r="D610" t="s">
        <v>5</v>
      </c>
      <c r="E610" t="str">
        <f t="shared" si="18"/>
        <v>並</v>
      </c>
      <c r="F610" s="7" t="str">
        <f>IF(A610="","",IF(E610="並","-",HLOOKUP(E610,単価表!$B$1:$D$2,2,FALSE)*B610))</f>
        <v>-</v>
      </c>
      <c r="G610" s="7" t="str">
        <f t="shared" si="19"/>
        <v>-</v>
      </c>
    </row>
    <row r="611" spans="1:7">
      <c r="A611">
        <v>610</v>
      </c>
      <c r="B611">
        <v>0.64300000000000002</v>
      </c>
      <c r="C611" t="s">
        <v>5</v>
      </c>
      <c r="D611" t="s">
        <v>3</v>
      </c>
      <c r="E611" t="str">
        <f t="shared" si="18"/>
        <v>並</v>
      </c>
      <c r="F611" s="7" t="str">
        <f>IF(A611="","",IF(E611="並","-",HLOOKUP(E611,単価表!$B$1:$D$2,2,FALSE)*B611))</f>
        <v>-</v>
      </c>
      <c r="G611" s="7" t="str">
        <f t="shared" si="19"/>
        <v>-</v>
      </c>
    </row>
    <row r="612" spans="1:7">
      <c r="A612">
        <v>611</v>
      </c>
      <c r="B612">
        <v>1.649</v>
      </c>
      <c r="C612" t="s">
        <v>3</v>
      </c>
      <c r="D612" t="s">
        <v>1</v>
      </c>
      <c r="E612" t="str">
        <f t="shared" si="18"/>
        <v>良</v>
      </c>
      <c r="F612" s="7">
        <f>IF(A612="","",IF(E612="並","-",HLOOKUP(E612,単価表!$B$1:$D$2,2,FALSE)*B612))</f>
        <v>1978.8</v>
      </c>
      <c r="G612" s="7">
        <f t="shared" si="19"/>
        <v>2000</v>
      </c>
    </row>
    <row r="613" spans="1:7">
      <c r="A613">
        <v>612</v>
      </c>
      <c r="B613">
        <v>2.84</v>
      </c>
      <c r="C613" t="s">
        <v>3</v>
      </c>
      <c r="D613" t="s">
        <v>5</v>
      </c>
      <c r="E613" t="str">
        <f t="shared" si="18"/>
        <v>並</v>
      </c>
      <c r="F613" s="7" t="str">
        <f>IF(A613="","",IF(E613="並","-",HLOOKUP(E613,単価表!$B$1:$D$2,2,FALSE)*B613))</f>
        <v>-</v>
      </c>
      <c r="G613" s="7" t="str">
        <f t="shared" si="19"/>
        <v>-</v>
      </c>
    </row>
    <row r="614" spans="1:7">
      <c r="A614">
        <v>613</v>
      </c>
      <c r="B614">
        <v>1.9339999999999999</v>
      </c>
      <c r="C614" t="s">
        <v>3</v>
      </c>
      <c r="D614" t="s">
        <v>5</v>
      </c>
      <c r="E614" t="str">
        <f t="shared" si="18"/>
        <v>並</v>
      </c>
      <c r="F614" s="7" t="str">
        <f>IF(A614="","",IF(E614="並","-",HLOOKUP(E614,単価表!$B$1:$D$2,2,FALSE)*B614))</f>
        <v>-</v>
      </c>
      <c r="G614" s="7" t="str">
        <f t="shared" si="19"/>
        <v>-</v>
      </c>
    </row>
    <row r="615" spans="1:7">
      <c r="A615">
        <v>614</v>
      </c>
      <c r="B615">
        <v>1.6459999999999999</v>
      </c>
      <c r="C615" t="s">
        <v>5</v>
      </c>
      <c r="D615" t="s">
        <v>1</v>
      </c>
      <c r="E615" t="str">
        <f t="shared" si="18"/>
        <v>並</v>
      </c>
      <c r="F615" s="7" t="str">
        <f>IF(A615="","",IF(E615="並","-",HLOOKUP(E615,単価表!$B$1:$D$2,2,FALSE)*B615))</f>
        <v>-</v>
      </c>
      <c r="G615" s="7" t="str">
        <f t="shared" si="19"/>
        <v>-</v>
      </c>
    </row>
    <row r="616" spans="1:7">
      <c r="A616">
        <v>615</v>
      </c>
      <c r="B616">
        <v>1.321</v>
      </c>
      <c r="C616" t="s">
        <v>1</v>
      </c>
      <c r="D616" t="s">
        <v>5</v>
      </c>
      <c r="E616" t="str">
        <f t="shared" si="18"/>
        <v>並</v>
      </c>
      <c r="F616" s="7" t="str">
        <f>IF(A616="","",IF(E616="並","-",HLOOKUP(E616,単価表!$B$1:$D$2,2,FALSE)*B616))</f>
        <v>-</v>
      </c>
      <c r="G616" s="7" t="str">
        <f t="shared" si="19"/>
        <v>-</v>
      </c>
    </row>
    <row r="617" spans="1:7">
      <c r="A617">
        <v>616</v>
      </c>
      <c r="B617">
        <v>2.633</v>
      </c>
      <c r="C617" t="s">
        <v>1</v>
      </c>
      <c r="D617" t="s">
        <v>1</v>
      </c>
      <c r="E617" t="str">
        <f t="shared" si="18"/>
        <v>優</v>
      </c>
      <c r="F617" s="7">
        <f>IF(A617="","",IF(E617="並","-",HLOOKUP(E617,単価表!$B$1:$D$2,2,FALSE)*B617))</f>
        <v>3949.5</v>
      </c>
      <c r="G617" s="7">
        <f t="shared" si="19"/>
        <v>3950</v>
      </c>
    </row>
    <row r="618" spans="1:7">
      <c r="A618">
        <v>617</v>
      </c>
      <c r="B618">
        <v>1.3049999999999999</v>
      </c>
      <c r="C618" t="s">
        <v>3</v>
      </c>
      <c r="D618" t="s">
        <v>5</v>
      </c>
      <c r="E618" t="str">
        <f t="shared" si="18"/>
        <v>並</v>
      </c>
      <c r="F618" s="7" t="str">
        <f>IF(A618="","",IF(E618="並","-",HLOOKUP(E618,単価表!$B$1:$D$2,2,FALSE)*B618))</f>
        <v>-</v>
      </c>
      <c r="G618" s="7" t="str">
        <f t="shared" si="19"/>
        <v>-</v>
      </c>
    </row>
    <row r="619" spans="1:7">
      <c r="A619">
        <v>618</v>
      </c>
      <c r="B619">
        <v>2.226</v>
      </c>
      <c r="C619" t="s">
        <v>3</v>
      </c>
      <c r="D619" t="s">
        <v>3</v>
      </c>
      <c r="E619" t="str">
        <f t="shared" si="18"/>
        <v>良</v>
      </c>
      <c r="F619" s="7">
        <f>IF(A619="","",IF(E619="並","-",HLOOKUP(E619,単価表!$B$1:$D$2,2,FALSE)*B619))</f>
        <v>2671.2</v>
      </c>
      <c r="G619" s="7">
        <f t="shared" si="19"/>
        <v>2700</v>
      </c>
    </row>
    <row r="620" spans="1:7">
      <c r="A620">
        <v>619</v>
      </c>
      <c r="B620">
        <v>1.0629999999999999</v>
      </c>
      <c r="C620" t="s">
        <v>3</v>
      </c>
      <c r="D620" t="s">
        <v>3</v>
      </c>
      <c r="E620" t="str">
        <f t="shared" si="18"/>
        <v>良</v>
      </c>
      <c r="F620" s="7">
        <f>IF(A620="","",IF(E620="並","-",HLOOKUP(E620,単価表!$B$1:$D$2,2,FALSE)*B620))</f>
        <v>1275.5999999999999</v>
      </c>
      <c r="G620" s="7">
        <f t="shared" si="19"/>
        <v>1300</v>
      </c>
    </row>
    <row r="621" spans="1:7">
      <c r="A621">
        <v>620</v>
      </c>
      <c r="B621">
        <v>0.93500000000000005</v>
      </c>
      <c r="C621" t="s">
        <v>1</v>
      </c>
      <c r="D621" t="s">
        <v>1</v>
      </c>
      <c r="E621" t="str">
        <f t="shared" si="18"/>
        <v>優</v>
      </c>
      <c r="F621" s="7">
        <f>IF(A621="","",IF(E621="並","-",HLOOKUP(E621,単価表!$B$1:$D$2,2,FALSE)*B621))</f>
        <v>1402.5</v>
      </c>
      <c r="G621" s="7">
        <f t="shared" si="19"/>
        <v>1450</v>
      </c>
    </row>
    <row r="622" spans="1:7">
      <c r="A622">
        <v>621</v>
      </c>
      <c r="B622">
        <v>2.911</v>
      </c>
      <c r="C622" t="s">
        <v>5</v>
      </c>
      <c r="D622" t="s">
        <v>5</v>
      </c>
      <c r="E622" t="str">
        <f t="shared" si="18"/>
        <v>並</v>
      </c>
      <c r="F622" s="7" t="str">
        <f>IF(A622="","",IF(E622="並","-",HLOOKUP(E622,単価表!$B$1:$D$2,2,FALSE)*B622))</f>
        <v>-</v>
      </c>
      <c r="G622" s="7" t="str">
        <f t="shared" si="19"/>
        <v>-</v>
      </c>
    </row>
    <row r="623" spans="1:7">
      <c r="A623">
        <v>622</v>
      </c>
      <c r="B623">
        <v>2.2490000000000001</v>
      </c>
      <c r="C623" t="s">
        <v>1</v>
      </c>
      <c r="D623" t="s">
        <v>5</v>
      </c>
      <c r="E623" t="str">
        <f t="shared" si="18"/>
        <v>並</v>
      </c>
      <c r="F623" s="7" t="str">
        <f>IF(A623="","",IF(E623="並","-",HLOOKUP(E623,単価表!$B$1:$D$2,2,FALSE)*B623))</f>
        <v>-</v>
      </c>
      <c r="G623" s="7" t="str">
        <f t="shared" si="19"/>
        <v>-</v>
      </c>
    </row>
    <row r="624" spans="1:7">
      <c r="A624">
        <v>623</v>
      </c>
      <c r="B624">
        <v>0.80800000000000005</v>
      </c>
      <c r="C624" t="s">
        <v>3</v>
      </c>
      <c r="D624" t="s">
        <v>5</v>
      </c>
      <c r="E624" t="str">
        <f t="shared" si="18"/>
        <v>並</v>
      </c>
      <c r="F624" s="7" t="str">
        <f>IF(A624="","",IF(E624="並","-",HLOOKUP(E624,単価表!$B$1:$D$2,2,FALSE)*B624))</f>
        <v>-</v>
      </c>
      <c r="G624" s="7" t="str">
        <f t="shared" si="19"/>
        <v>-</v>
      </c>
    </row>
    <row r="625" spans="1:7">
      <c r="A625">
        <v>624</v>
      </c>
      <c r="B625">
        <v>1.3340000000000001</v>
      </c>
      <c r="C625" t="s">
        <v>1</v>
      </c>
      <c r="D625" t="s">
        <v>5</v>
      </c>
      <c r="E625" t="str">
        <f t="shared" si="18"/>
        <v>並</v>
      </c>
      <c r="F625" s="7" t="str">
        <f>IF(A625="","",IF(E625="並","-",HLOOKUP(E625,単価表!$B$1:$D$2,2,FALSE)*B625))</f>
        <v>-</v>
      </c>
      <c r="G625" s="7" t="str">
        <f t="shared" si="19"/>
        <v>-</v>
      </c>
    </row>
    <row r="626" spans="1:7">
      <c r="A626">
        <v>625</v>
      </c>
      <c r="B626">
        <v>2.29</v>
      </c>
      <c r="C626" t="s">
        <v>5</v>
      </c>
      <c r="D626" t="s">
        <v>5</v>
      </c>
      <c r="E626" t="str">
        <f t="shared" si="18"/>
        <v>並</v>
      </c>
      <c r="F626" s="7" t="str">
        <f>IF(A626="","",IF(E626="並","-",HLOOKUP(E626,単価表!$B$1:$D$2,2,FALSE)*B626))</f>
        <v>-</v>
      </c>
      <c r="G626" s="7" t="str">
        <f t="shared" si="19"/>
        <v>-</v>
      </c>
    </row>
    <row r="627" spans="1:7">
      <c r="A627">
        <v>626</v>
      </c>
      <c r="B627">
        <v>2.7490000000000001</v>
      </c>
      <c r="C627" t="s">
        <v>5</v>
      </c>
      <c r="D627" t="s">
        <v>1</v>
      </c>
      <c r="E627" t="str">
        <f t="shared" si="18"/>
        <v>並</v>
      </c>
      <c r="F627" s="7" t="str">
        <f>IF(A627="","",IF(E627="並","-",HLOOKUP(E627,単価表!$B$1:$D$2,2,FALSE)*B627))</f>
        <v>-</v>
      </c>
      <c r="G627" s="7" t="str">
        <f t="shared" si="19"/>
        <v>-</v>
      </c>
    </row>
    <row r="628" spans="1:7">
      <c r="A628">
        <v>627</v>
      </c>
      <c r="B628">
        <v>2.2400000000000002</v>
      </c>
      <c r="C628" t="s">
        <v>5</v>
      </c>
      <c r="D628" t="s">
        <v>1</v>
      </c>
      <c r="E628" t="str">
        <f t="shared" si="18"/>
        <v>並</v>
      </c>
      <c r="F628" s="7" t="str">
        <f>IF(A628="","",IF(E628="並","-",HLOOKUP(E628,単価表!$B$1:$D$2,2,FALSE)*B628))</f>
        <v>-</v>
      </c>
      <c r="G628" s="7" t="str">
        <f t="shared" si="19"/>
        <v>-</v>
      </c>
    </row>
    <row r="629" spans="1:7">
      <c r="A629">
        <v>628</v>
      </c>
      <c r="B629">
        <v>2.1139999999999999</v>
      </c>
      <c r="C629" t="s">
        <v>1</v>
      </c>
      <c r="D629" t="s">
        <v>5</v>
      </c>
      <c r="E629" t="str">
        <f t="shared" si="18"/>
        <v>並</v>
      </c>
      <c r="F629" s="7" t="str">
        <f>IF(A629="","",IF(E629="並","-",HLOOKUP(E629,単価表!$B$1:$D$2,2,FALSE)*B629))</f>
        <v>-</v>
      </c>
      <c r="G629" s="7" t="str">
        <f t="shared" si="19"/>
        <v>-</v>
      </c>
    </row>
    <row r="630" spans="1:7">
      <c r="A630">
        <v>629</v>
      </c>
      <c r="B630">
        <v>2.548</v>
      </c>
      <c r="C630" t="s">
        <v>1</v>
      </c>
      <c r="D630" t="s">
        <v>5</v>
      </c>
      <c r="E630" t="str">
        <f t="shared" si="18"/>
        <v>並</v>
      </c>
      <c r="F630" s="7" t="str">
        <f>IF(A630="","",IF(E630="並","-",HLOOKUP(E630,単価表!$B$1:$D$2,2,FALSE)*B630))</f>
        <v>-</v>
      </c>
      <c r="G630" s="7" t="str">
        <f t="shared" si="19"/>
        <v>-</v>
      </c>
    </row>
    <row r="631" spans="1:7">
      <c r="A631">
        <v>630</v>
      </c>
      <c r="B631">
        <v>2.2040000000000002</v>
      </c>
      <c r="C631" t="s">
        <v>3</v>
      </c>
      <c r="D631" t="s">
        <v>3</v>
      </c>
      <c r="E631" t="str">
        <f t="shared" si="18"/>
        <v>良</v>
      </c>
      <c r="F631" s="7">
        <f>IF(A631="","",IF(E631="並","-",HLOOKUP(E631,単価表!$B$1:$D$2,2,FALSE)*B631))</f>
        <v>2644.8</v>
      </c>
      <c r="G631" s="7">
        <f t="shared" si="19"/>
        <v>2650</v>
      </c>
    </row>
    <row r="632" spans="1:7">
      <c r="A632">
        <v>631</v>
      </c>
      <c r="B632">
        <v>1.0409999999999999</v>
      </c>
      <c r="C632" t="s">
        <v>1</v>
      </c>
      <c r="D632" t="s">
        <v>3</v>
      </c>
      <c r="E632" t="str">
        <f t="shared" si="18"/>
        <v>良</v>
      </c>
      <c r="F632" s="7">
        <f>IF(A632="","",IF(E632="並","-",HLOOKUP(E632,単価表!$B$1:$D$2,2,FALSE)*B632))</f>
        <v>1249.1999999999998</v>
      </c>
      <c r="G632" s="7">
        <f t="shared" si="19"/>
        <v>1250</v>
      </c>
    </row>
    <row r="633" spans="1:7">
      <c r="A633">
        <v>632</v>
      </c>
      <c r="B633">
        <v>1.012</v>
      </c>
      <c r="C633" t="s">
        <v>1</v>
      </c>
      <c r="D633" t="s">
        <v>1</v>
      </c>
      <c r="E633" t="str">
        <f t="shared" si="18"/>
        <v>優</v>
      </c>
      <c r="F633" s="7">
        <f>IF(A633="","",IF(E633="並","-",HLOOKUP(E633,単価表!$B$1:$D$2,2,FALSE)*B633))</f>
        <v>1518</v>
      </c>
      <c r="G633" s="7">
        <f t="shared" si="19"/>
        <v>1550</v>
      </c>
    </row>
    <row r="634" spans="1:7">
      <c r="A634">
        <v>633</v>
      </c>
      <c r="B634">
        <v>1.43</v>
      </c>
      <c r="C634" t="s">
        <v>1</v>
      </c>
      <c r="D634" t="s">
        <v>5</v>
      </c>
      <c r="E634" t="str">
        <f t="shared" si="18"/>
        <v>並</v>
      </c>
      <c r="F634" s="7" t="str">
        <f>IF(A634="","",IF(E634="並","-",HLOOKUP(E634,単価表!$B$1:$D$2,2,FALSE)*B634))</f>
        <v>-</v>
      </c>
      <c r="G634" s="7" t="str">
        <f t="shared" si="19"/>
        <v>-</v>
      </c>
    </row>
    <row r="635" spans="1:7">
      <c r="A635">
        <v>634</v>
      </c>
      <c r="B635">
        <v>2.6920000000000002</v>
      </c>
      <c r="C635" t="s">
        <v>3</v>
      </c>
      <c r="D635" t="s">
        <v>5</v>
      </c>
      <c r="E635" t="str">
        <f t="shared" si="18"/>
        <v>並</v>
      </c>
      <c r="F635" s="7" t="str">
        <f>IF(A635="","",IF(E635="並","-",HLOOKUP(E635,単価表!$B$1:$D$2,2,FALSE)*B635))</f>
        <v>-</v>
      </c>
      <c r="G635" s="7" t="str">
        <f t="shared" si="19"/>
        <v>-</v>
      </c>
    </row>
    <row r="636" spans="1:7">
      <c r="A636">
        <v>635</v>
      </c>
      <c r="B636">
        <v>1.157</v>
      </c>
      <c r="C636" t="s">
        <v>3</v>
      </c>
      <c r="D636" t="s">
        <v>1</v>
      </c>
      <c r="E636" t="str">
        <f t="shared" si="18"/>
        <v>良</v>
      </c>
      <c r="F636" s="7">
        <f>IF(A636="","",IF(E636="並","-",HLOOKUP(E636,単価表!$B$1:$D$2,2,FALSE)*B636))</f>
        <v>1388.4</v>
      </c>
      <c r="G636" s="7">
        <f t="shared" si="19"/>
        <v>1400</v>
      </c>
    </row>
    <row r="637" spans="1:7">
      <c r="A637">
        <v>636</v>
      </c>
      <c r="B637">
        <v>2.9279999999999999</v>
      </c>
      <c r="C637" t="s">
        <v>3</v>
      </c>
      <c r="D637" t="s">
        <v>5</v>
      </c>
      <c r="E637" t="str">
        <f t="shared" si="18"/>
        <v>並</v>
      </c>
      <c r="F637" s="7" t="str">
        <f>IF(A637="","",IF(E637="並","-",HLOOKUP(E637,単価表!$B$1:$D$2,2,FALSE)*B637))</f>
        <v>-</v>
      </c>
      <c r="G637" s="7" t="str">
        <f t="shared" si="19"/>
        <v>-</v>
      </c>
    </row>
    <row r="638" spans="1:7">
      <c r="A638">
        <v>637</v>
      </c>
      <c r="B638">
        <v>2.5619999999999998</v>
      </c>
      <c r="C638" t="s">
        <v>1</v>
      </c>
      <c r="D638" t="s">
        <v>5</v>
      </c>
      <c r="E638" t="str">
        <f t="shared" si="18"/>
        <v>並</v>
      </c>
      <c r="F638" s="7" t="str">
        <f>IF(A638="","",IF(E638="並","-",HLOOKUP(E638,単価表!$B$1:$D$2,2,FALSE)*B638))</f>
        <v>-</v>
      </c>
      <c r="G638" s="7" t="str">
        <f t="shared" si="19"/>
        <v>-</v>
      </c>
    </row>
    <row r="639" spans="1:7">
      <c r="A639">
        <v>638</v>
      </c>
      <c r="B639">
        <v>2.0590000000000002</v>
      </c>
      <c r="C639" t="s">
        <v>1</v>
      </c>
      <c r="D639" t="s">
        <v>5</v>
      </c>
      <c r="E639" t="str">
        <f t="shared" si="18"/>
        <v>並</v>
      </c>
      <c r="F639" s="7" t="str">
        <f>IF(A639="","",IF(E639="並","-",HLOOKUP(E639,単価表!$B$1:$D$2,2,FALSE)*B639))</f>
        <v>-</v>
      </c>
      <c r="G639" s="7" t="str">
        <f t="shared" si="19"/>
        <v>-</v>
      </c>
    </row>
    <row r="640" spans="1:7">
      <c r="A640">
        <v>639</v>
      </c>
      <c r="B640">
        <v>2.83</v>
      </c>
      <c r="C640" t="s">
        <v>5</v>
      </c>
      <c r="D640" t="s">
        <v>5</v>
      </c>
      <c r="E640" t="str">
        <f t="shared" si="18"/>
        <v>並</v>
      </c>
      <c r="F640" s="7" t="str">
        <f>IF(A640="","",IF(E640="並","-",HLOOKUP(E640,単価表!$B$1:$D$2,2,FALSE)*B640))</f>
        <v>-</v>
      </c>
      <c r="G640" s="7" t="str">
        <f t="shared" si="19"/>
        <v>-</v>
      </c>
    </row>
    <row r="641" spans="1:7">
      <c r="A641">
        <v>640</v>
      </c>
      <c r="B641">
        <v>2.5289999999999999</v>
      </c>
      <c r="C641" t="s">
        <v>3</v>
      </c>
      <c r="D641" t="s">
        <v>5</v>
      </c>
      <c r="E641" t="str">
        <f t="shared" si="18"/>
        <v>並</v>
      </c>
      <c r="F641" s="7" t="str">
        <f>IF(A641="","",IF(E641="並","-",HLOOKUP(E641,単価表!$B$1:$D$2,2,FALSE)*B641))</f>
        <v>-</v>
      </c>
      <c r="G641" s="7" t="str">
        <f t="shared" si="19"/>
        <v>-</v>
      </c>
    </row>
    <row r="642" spans="1:7">
      <c r="A642">
        <v>641</v>
      </c>
      <c r="B642">
        <v>1.2509999999999999</v>
      </c>
      <c r="C642" t="s">
        <v>1</v>
      </c>
      <c r="D642" t="s">
        <v>5</v>
      </c>
      <c r="E642" t="str">
        <f t="shared" si="18"/>
        <v>並</v>
      </c>
      <c r="F642" s="7" t="str">
        <f>IF(A642="","",IF(E642="並","-",HLOOKUP(E642,単価表!$B$1:$D$2,2,FALSE)*B642))</f>
        <v>-</v>
      </c>
      <c r="G642" s="7" t="str">
        <f t="shared" si="19"/>
        <v>-</v>
      </c>
    </row>
    <row r="643" spans="1:7">
      <c r="A643">
        <v>642</v>
      </c>
      <c r="B643">
        <v>2.198</v>
      </c>
      <c r="C643" t="s">
        <v>3</v>
      </c>
      <c r="D643" t="s">
        <v>5</v>
      </c>
      <c r="E643" t="str">
        <f t="shared" ref="E643:E706" si="20">IF(A643="","",IF(OR(C643="並",D643="並"),"並",IF(OR(C643="良",D643="良"),"良","優")))</f>
        <v>並</v>
      </c>
      <c r="F643" s="7" t="str">
        <f>IF(A643="","",IF(E643="並","-",HLOOKUP(E643,単価表!$B$1:$D$2,2,FALSE)*B643))</f>
        <v>-</v>
      </c>
      <c r="G643" s="7" t="str">
        <f t="shared" si="19"/>
        <v>-</v>
      </c>
    </row>
    <row r="644" spans="1:7">
      <c r="A644">
        <v>643</v>
      </c>
      <c r="B644">
        <v>2.327</v>
      </c>
      <c r="C644" t="s">
        <v>1</v>
      </c>
      <c r="D644" t="s">
        <v>5</v>
      </c>
      <c r="E644" t="str">
        <f t="shared" si="20"/>
        <v>並</v>
      </c>
      <c r="F644" s="7" t="str">
        <f>IF(A644="","",IF(E644="並","-",HLOOKUP(E644,単価表!$B$1:$D$2,2,FALSE)*B644))</f>
        <v>-</v>
      </c>
      <c r="G644" s="7" t="str">
        <f t="shared" ref="G644:G707" si="21">IF(A644="","",IF(E644="並","-",ROUNDUP(F644/50,0)*50))</f>
        <v>-</v>
      </c>
    </row>
    <row r="645" spans="1:7">
      <c r="A645">
        <v>644</v>
      </c>
      <c r="B645">
        <v>0.65800000000000003</v>
      </c>
      <c r="C645" t="s">
        <v>1</v>
      </c>
      <c r="D645" t="s">
        <v>3</v>
      </c>
      <c r="E645" t="str">
        <f t="shared" si="20"/>
        <v>良</v>
      </c>
      <c r="F645" s="7">
        <f>IF(A645="","",IF(E645="並","-",HLOOKUP(E645,単価表!$B$1:$D$2,2,FALSE)*B645))</f>
        <v>789.6</v>
      </c>
      <c r="G645" s="7">
        <f t="shared" si="21"/>
        <v>800</v>
      </c>
    </row>
    <row r="646" spans="1:7">
      <c r="A646">
        <v>645</v>
      </c>
      <c r="B646">
        <v>2.3420000000000001</v>
      </c>
      <c r="C646" t="s">
        <v>1</v>
      </c>
      <c r="D646" t="s">
        <v>1</v>
      </c>
      <c r="E646" t="str">
        <f t="shared" si="20"/>
        <v>優</v>
      </c>
      <c r="F646" s="7">
        <f>IF(A646="","",IF(E646="並","-",HLOOKUP(E646,単価表!$B$1:$D$2,2,FALSE)*B646))</f>
        <v>3513</v>
      </c>
      <c r="G646" s="7">
        <f t="shared" si="21"/>
        <v>3550</v>
      </c>
    </row>
    <row r="647" spans="1:7">
      <c r="A647">
        <v>646</v>
      </c>
      <c r="B647">
        <v>1.2989999999999999</v>
      </c>
      <c r="C647" t="s">
        <v>3</v>
      </c>
      <c r="D647" t="s">
        <v>1</v>
      </c>
      <c r="E647" t="str">
        <f t="shared" si="20"/>
        <v>良</v>
      </c>
      <c r="F647" s="7">
        <f>IF(A647="","",IF(E647="並","-",HLOOKUP(E647,単価表!$B$1:$D$2,2,FALSE)*B647))</f>
        <v>1558.8</v>
      </c>
      <c r="G647" s="7">
        <f t="shared" si="21"/>
        <v>1600</v>
      </c>
    </row>
    <row r="648" spans="1:7">
      <c r="A648">
        <v>647</v>
      </c>
      <c r="B648">
        <v>2.5470000000000002</v>
      </c>
      <c r="C648" t="s">
        <v>5</v>
      </c>
      <c r="D648" t="s">
        <v>1</v>
      </c>
      <c r="E648" t="str">
        <f t="shared" si="20"/>
        <v>並</v>
      </c>
      <c r="F648" s="7" t="str">
        <f>IF(A648="","",IF(E648="並","-",HLOOKUP(E648,単価表!$B$1:$D$2,2,FALSE)*B648))</f>
        <v>-</v>
      </c>
      <c r="G648" s="7" t="str">
        <f t="shared" si="21"/>
        <v>-</v>
      </c>
    </row>
    <row r="649" spans="1:7">
      <c r="A649">
        <v>648</v>
      </c>
      <c r="B649">
        <v>2.629</v>
      </c>
      <c r="C649" t="s">
        <v>5</v>
      </c>
      <c r="D649" t="s">
        <v>5</v>
      </c>
      <c r="E649" t="str">
        <f t="shared" si="20"/>
        <v>並</v>
      </c>
      <c r="F649" s="7" t="str">
        <f>IF(A649="","",IF(E649="並","-",HLOOKUP(E649,単価表!$B$1:$D$2,2,FALSE)*B649))</f>
        <v>-</v>
      </c>
      <c r="G649" s="7" t="str">
        <f t="shared" si="21"/>
        <v>-</v>
      </c>
    </row>
    <row r="650" spans="1:7">
      <c r="A650">
        <v>649</v>
      </c>
      <c r="B650">
        <v>2.7040000000000002</v>
      </c>
      <c r="C650" t="s">
        <v>1</v>
      </c>
      <c r="D650" t="s">
        <v>1</v>
      </c>
      <c r="E650" t="str">
        <f t="shared" si="20"/>
        <v>優</v>
      </c>
      <c r="F650" s="7">
        <f>IF(A650="","",IF(E650="並","-",HLOOKUP(E650,単価表!$B$1:$D$2,2,FALSE)*B650))</f>
        <v>4056.0000000000005</v>
      </c>
      <c r="G650" s="7">
        <f t="shared" si="21"/>
        <v>4100</v>
      </c>
    </row>
    <row r="651" spans="1:7">
      <c r="A651">
        <v>650</v>
      </c>
      <c r="B651">
        <v>1.407</v>
      </c>
      <c r="C651" t="s">
        <v>5</v>
      </c>
      <c r="D651" t="s">
        <v>3</v>
      </c>
      <c r="E651" t="str">
        <f t="shared" si="20"/>
        <v>並</v>
      </c>
      <c r="F651" s="7" t="str">
        <f>IF(A651="","",IF(E651="並","-",HLOOKUP(E651,単価表!$B$1:$D$2,2,FALSE)*B651))</f>
        <v>-</v>
      </c>
      <c r="G651" s="7" t="str">
        <f t="shared" si="21"/>
        <v>-</v>
      </c>
    </row>
    <row r="652" spans="1:7">
      <c r="A652">
        <v>651</v>
      </c>
      <c r="B652">
        <v>1.478</v>
      </c>
      <c r="C652" t="s">
        <v>3</v>
      </c>
      <c r="D652" t="s">
        <v>3</v>
      </c>
      <c r="E652" t="str">
        <f t="shared" si="20"/>
        <v>良</v>
      </c>
      <c r="F652" s="7">
        <f>IF(A652="","",IF(E652="並","-",HLOOKUP(E652,単価表!$B$1:$D$2,2,FALSE)*B652))</f>
        <v>1773.6</v>
      </c>
      <c r="G652" s="7">
        <f t="shared" si="21"/>
        <v>1800</v>
      </c>
    </row>
    <row r="653" spans="1:7">
      <c r="A653">
        <v>652</v>
      </c>
      <c r="B653">
        <v>2.3940000000000001</v>
      </c>
      <c r="C653" t="s">
        <v>5</v>
      </c>
      <c r="D653" t="s">
        <v>5</v>
      </c>
      <c r="E653" t="str">
        <f t="shared" si="20"/>
        <v>並</v>
      </c>
      <c r="F653" s="7" t="str">
        <f>IF(A653="","",IF(E653="並","-",HLOOKUP(E653,単価表!$B$1:$D$2,2,FALSE)*B653))</f>
        <v>-</v>
      </c>
      <c r="G653" s="7" t="str">
        <f t="shared" si="21"/>
        <v>-</v>
      </c>
    </row>
    <row r="654" spans="1:7">
      <c r="A654">
        <v>653</v>
      </c>
      <c r="B654">
        <v>0.53800000000000003</v>
      </c>
      <c r="C654" t="s">
        <v>3</v>
      </c>
      <c r="D654" t="s">
        <v>5</v>
      </c>
      <c r="E654" t="str">
        <f t="shared" si="20"/>
        <v>並</v>
      </c>
      <c r="F654" s="7" t="str">
        <f>IF(A654="","",IF(E654="並","-",HLOOKUP(E654,単価表!$B$1:$D$2,2,FALSE)*B654))</f>
        <v>-</v>
      </c>
      <c r="G654" s="7" t="str">
        <f t="shared" si="21"/>
        <v>-</v>
      </c>
    </row>
    <row r="655" spans="1:7">
      <c r="A655">
        <v>654</v>
      </c>
      <c r="B655">
        <v>2.54</v>
      </c>
      <c r="C655" t="s">
        <v>1</v>
      </c>
      <c r="D655" t="s">
        <v>1</v>
      </c>
      <c r="E655" t="str">
        <f t="shared" si="20"/>
        <v>優</v>
      </c>
      <c r="F655" s="7">
        <f>IF(A655="","",IF(E655="並","-",HLOOKUP(E655,単価表!$B$1:$D$2,2,FALSE)*B655))</f>
        <v>3810</v>
      </c>
      <c r="G655" s="7">
        <f t="shared" si="21"/>
        <v>3850</v>
      </c>
    </row>
    <row r="656" spans="1:7">
      <c r="A656">
        <v>655</v>
      </c>
      <c r="B656">
        <v>1.069</v>
      </c>
      <c r="C656" t="s">
        <v>3</v>
      </c>
      <c r="D656" t="s">
        <v>5</v>
      </c>
      <c r="E656" t="str">
        <f t="shared" si="20"/>
        <v>並</v>
      </c>
      <c r="F656" s="7" t="str">
        <f>IF(A656="","",IF(E656="並","-",HLOOKUP(E656,単価表!$B$1:$D$2,2,FALSE)*B656))</f>
        <v>-</v>
      </c>
      <c r="G656" s="7" t="str">
        <f t="shared" si="21"/>
        <v>-</v>
      </c>
    </row>
    <row r="657" spans="1:7">
      <c r="A657">
        <v>656</v>
      </c>
      <c r="B657">
        <v>1.647</v>
      </c>
      <c r="C657" t="s">
        <v>1</v>
      </c>
      <c r="D657" t="s">
        <v>1</v>
      </c>
      <c r="E657" t="str">
        <f t="shared" si="20"/>
        <v>優</v>
      </c>
      <c r="F657" s="7">
        <f>IF(A657="","",IF(E657="並","-",HLOOKUP(E657,単価表!$B$1:$D$2,2,FALSE)*B657))</f>
        <v>2470.5</v>
      </c>
      <c r="G657" s="7">
        <f t="shared" si="21"/>
        <v>2500</v>
      </c>
    </row>
    <row r="658" spans="1:7">
      <c r="A658">
        <v>657</v>
      </c>
      <c r="B658">
        <v>2.6560000000000001</v>
      </c>
      <c r="C658" t="s">
        <v>3</v>
      </c>
      <c r="D658" t="s">
        <v>5</v>
      </c>
      <c r="E658" t="str">
        <f t="shared" si="20"/>
        <v>並</v>
      </c>
      <c r="F658" s="7" t="str">
        <f>IF(A658="","",IF(E658="並","-",HLOOKUP(E658,単価表!$B$1:$D$2,2,FALSE)*B658))</f>
        <v>-</v>
      </c>
      <c r="G658" s="7" t="str">
        <f t="shared" si="21"/>
        <v>-</v>
      </c>
    </row>
    <row r="659" spans="1:7">
      <c r="A659">
        <v>658</v>
      </c>
      <c r="B659">
        <v>0.55400000000000005</v>
      </c>
      <c r="C659" t="s">
        <v>3</v>
      </c>
      <c r="D659" t="s">
        <v>1</v>
      </c>
      <c r="E659" t="str">
        <f t="shared" si="20"/>
        <v>良</v>
      </c>
      <c r="F659" s="7">
        <f>IF(A659="","",IF(E659="並","-",HLOOKUP(E659,単価表!$B$1:$D$2,2,FALSE)*B659))</f>
        <v>664.80000000000007</v>
      </c>
      <c r="G659" s="7">
        <f t="shared" si="21"/>
        <v>700</v>
      </c>
    </row>
    <row r="660" spans="1:7">
      <c r="A660">
        <v>659</v>
      </c>
      <c r="B660">
        <v>0.74399999999999999</v>
      </c>
      <c r="C660" t="s">
        <v>1</v>
      </c>
      <c r="D660" t="s">
        <v>3</v>
      </c>
      <c r="E660" t="str">
        <f t="shared" si="20"/>
        <v>良</v>
      </c>
      <c r="F660" s="7">
        <f>IF(A660="","",IF(E660="並","-",HLOOKUP(E660,単価表!$B$1:$D$2,2,FALSE)*B660))</f>
        <v>892.8</v>
      </c>
      <c r="G660" s="7">
        <f t="shared" si="21"/>
        <v>900</v>
      </c>
    </row>
    <row r="661" spans="1:7">
      <c r="A661">
        <v>660</v>
      </c>
      <c r="B661">
        <v>2.125</v>
      </c>
      <c r="C661" t="s">
        <v>5</v>
      </c>
      <c r="D661" t="s">
        <v>3</v>
      </c>
      <c r="E661" t="str">
        <f t="shared" si="20"/>
        <v>並</v>
      </c>
      <c r="F661" s="7" t="str">
        <f>IF(A661="","",IF(E661="並","-",HLOOKUP(E661,単価表!$B$1:$D$2,2,FALSE)*B661))</f>
        <v>-</v>
      </c>
      <c r="G661" s="7" t="str">
        <f t="shared" si="21"/>
        <v>-</v>
      </c>
    </row>
    <row r="662" spans="1:7">
      <c r="A662">
        <v>661</v>
      </c>
      <c r="B662">
        <v>1.7869999999999999</v>
      </c>
      <c r="C662" t="s">
        <v>3</v>
      </c>
      <c r="D662" t="s">
        <v>3</v>
      </c>
      <c r="E662" t="str">
        <f t="shared" si="20"/>
        <v>良</v>
      </c>
      <c r="F662" s="7">
        <f>IF(A662="","",IF(E662="並","-",HLOOKUP(E662,単価表!$B$1:$D$2,2,FALSE)*B662))</f>
        <v>2144.4</v>
      </c>
      <c r="G662" s="7">
        <f t="shared" si="21"/>
        <v>2150</v>
      </c>
    </row>
    <row r="663" spans="1:7">
      <c r="A663">
        <v>662</v>
      </c>
      <c r="B663">
        <v>1.7270000000000001</v>
      </c>
      <c r="C663" t="s">
        <v>5</v>
      </c>
      <c r="D663" t="s">
        <v>1</v>
      </c>
      <c r="E663" t="str">
        <f t="shared" si="20"/>
        <v>並</v>
      </c>
      <c r="F663" s="7" t="str">
        <f>IF(A663="","",IF(E663="並","-",HLOOKUP(E663,単価表!$B$1:$D$2,2,FALSE)*B663))</f>
        <v>-</v>
      </c>
      <c r="G663" s="7" t="str">
        <f t="shared" si="21"/>
        <v>-</v>
      </c>
    </row>
    <row r="664" spans="1:7">
      <c r="A664">
        <v>663</v>
      </c>
      <c r="B664">
        <v>0.67500000000000004</v>
      </c>
      <c r="C664" t="s">
        <v>3</v>
      </c>
      <c r="D664" t="s">
        <v>5</v>
      </c>
      <c r="E664" t="str">
        <f t="shared" si="20"/>
        <v>並</v>
      </c>
      <c r="F664" s="7" t="str">
        <f>IF(A664="","",IF(E664="並","-",HLOOKUP(E664,単価表!$B$1:$D$2,2,FALSE)*B664))</f>
        <v>-</v>
      </c>
      <c r="G664" s="7" t="str">
        <f t="shared" si="21"/>
        <v>-</v>
      </c>
    </row>
    <row r="665" spans="1:7">
      <c r="A665">
        <v>664</v>
      </c>
      <c r="B665">
        <v>0.57999999999999996</v>
      </c>
      <c r="C665" t="s">
        <v>5</v>
      </c>
      <c r="D665" t="s">
        <v>1</v>
      </c>
      <c r="E665" t="str">
        <f t="shared" si="20"/>
        <v>並</v>
      </c>
      <c r="F665" s="7" t="str">
        <f>IF(A665="","",IF(E665="並","-",HLOOKUP(E665,単価表!$B$1:$D$2,2,FALSE)*B665))</f>
        <v>-</v>
      </c>
      <c r="G665" s="7" t="str">
        <f t="shared" si="21"/>
        <v>-</v>
      </c>
    </row>
    <row r="666" spans="1:7">
      <c r="A666">
        <v>665</v>
      </c>
      <c r="B666">
        <v>2.145</v>
      </c>
      <c r="C666" t="s">
        <v>3</v>
      </c>
      <c r="D666" t="s">
        <v>3</v>
      </c>
      <c r="E666" t="str">
        <f t="shared" si="20"/>
        <v>良</v>
      </c>
      <c r="F666" s="7">
        <f>IF(A666="","",IF(E666="並","-",HLOOKUP(E666,単価表!$B$1:$D$2,2,FALSE)*B666))</f>
        <v>2574</v>
      </c>
      <c r="G666" s="7">
        <f t="shared" si="21"/>
        <v>2600</v>
      </c>
    </row>
    <row r="667" spans="1:7">
      <c r="A667">
        <v>666</v>
      </c>
      <c r="B667">
        <v>2.2719999999999998</v>
      </c>
      <c r="C667" t="s">
        <v>1</v>
      </c>
      <c r="D667" t="s">
        <v>3</v>
      </c>
      <c r="E667" t="str">
        <f t="shared" si="20"/>
        <v>良</v>
      </c>
      <c r="F667" s="7">
        <f>IF(A667="","",IF(E667="並","-",HLOOKUP(E667,単価表!$B$1:$D$2,2,FALSE)*B667))</f>
        <v>2726.3999999999996</v>
      </c>
      <c r="G667" s="7">
        <f t="shared" si="21"/>
        <v>2750</v>
      </c>
    </row>
    <row r="668" spans="1:7">
      <c r="A668">
        <v>667</v>
      </c>
      <c r="B668">
        <v>2.8660000000000001</v>
      </c>
      <c r="C668" t="s">
        <v>1</v>
      </c>
      <c r="D668" t="s">
        <v>5</v>
      </c>
      <c r="E668" t="str">
        <f t="shared" si="20"/>
        <v>並</v>
      </c>
      <c r="F668" s="7" t="str">
        <f>IF(A668="","",IF(E668="並","-",HLOOKUP(E668,単価表!$B$1:$D$2,2,FALSE)*B668))</f>
        <v>-</v>
      </c>
      <c r="G668" s="7" t="str">
        <f t="shared" si="21"/>
        <v>-</v>
      </c>
    </row>
    <row r="669" spans="1:7">
      <c r="A669">
        <v>668</v>
      </c>
      <c r="B669">
        <v>2.113</v>
      </c>
      <c r="C669" t="s">
        <v>1</v>
      </c>
      <c r="D669" t="s">
        <v>1</v>
      </c>
      <c r="E669" t="str">
        <f t="shared" si="20"/>
        <v>優</v>
      </c>
      <c r="F669" s="7">
        <f>IF(A669="","",IF(E669="並","-",HLOOKUP(E669,単価表!$B$1:$D$2,2,FALSE)*B669))</f>
        <v>3169.5</v>
      </c>
      <c r="G669" s="7">
        <f t="shared" si="21"/>
        <v>3200</v>
      </c>
    </row>
    <row r="670" spans="1:7">
      <c r="A670">
        <v>669</v>
      </c>
      <c r="B670">
        <v>1.119</v>
      </c>
      <c r="C670" t="s">
        <v>5</v>
      </c>
      <c r="D670" t="s">
        <v>3</v>
      </c>
      <c r="E670" t="str">
        <f t="shared" si="20"/>
        <v>並</v>
      </c>
      <c r="F670" s="7" t="str">
        <f>IF(A670="","",IF(E670="並","-",HLOOKUP(E670,単価表!$B$1:$D$2,2,FALSE)*B670))</f>
        <v>-</v>
      </c>
      <c r="G670" s="7" t="str">
        <f t="shared" si="21"/>
        <v>-</v>
      </c>
    </row>
    <row r="671" spans="1:7">
      <c r="A671">
        <v>670</v>
      </c>
      <c r="B671">
        <v>1.611</v>
      </c>
      <c r="C671" t="s">
        <v>3</v>
      </c>
      <c r="D671" t="s">
        <v>1</v>
      </c>
      <c r="E671" t="str">
        <f t="shared" si="20"/>
        <v>良</v>
      </c>
      <c r="F671" s="7">
        <f>IF(A671="","",IF(E671="並","-",HLOOKUP(E671,単価表!$B$1:$D$2,2,FALSE)*B671))</f>
        <v>1933.2</v>
      </c>
      <c r="G671" s="7">
        <f t="shared" si="21"/>
        <v>1950</v>
      </c>
    </row>
    <row r="672" spans="1:7">
      <c r="A672">
        <v>671</v>
      </c>
      <c r="B672">
        <v>0.90400000000000003</v>
      </c>
      <c r="C672" t="s">
        <v>1</v>
      </c>
      <c r="D672" t="s">
        <v>1</v>
      </c>
      <c r="E672" t="str">
        <f t="shared" si="20"/>
        <v>優</v>
      </c>
      <c r="F672" s="7">
        <f>IF(A672="","",IF(E672="並","-",HLOOKUP(E672,単価表!$B$1:$D$2,2,FALSE)*B672))</f>
        <v>1356</v>
      </c>
      <c r="G672" s="7">
        <f t="shared" si="21"/>
        <v>1400</v>
      </c>
    </row>
    <row r="673" spans="1:7">
      <c r="A673">
        <v>672</v>
      </c>
      <c r="B673">
        <v>1.036</v>
      </c>
      <c r="C673" t="s">
        <v>3</v>
      </c>
      <c r="D673" t="s">
        <v>3</v>
      </c>
      <c r="E673" t="str">
        <f t="shared" si="20"/>
        <v>良</v>
      </c>
      <c r="F673" s="7">
        <f>IF(A673="","",IF(E673="並","-",HLOOKUP(E673,単価表!$B$1:$D$2,2,FALSE)*B673))</f>
        <v>1243.2</v>
      </c>
      <c r="G673" s="7">
        <f t="shared" si="21"/>
        <v>1250</v>
      </c>
    </row>
    <row r="674" spans="1:7">
      <c r="A674">
        <v>673</v>
      </c>
      <c r="B674">
        <v>0.88</v>
      </c>
      <c r="C674" t="s">
        <v>3</v>
      </c>
      <c r="D674" t="s">
        <v>5</v>
      </c>
      <c r="E674" t="str">
        <f t="shared" si="20"/>
        <v>並</v>
      </c>
      <c r="F674" s="7" t="str">
        <f>IF(A674="","",IF(E674="並","-",HLOOKUP(E674,単価表!$B$1:$D$2,2,FALSE)*B674))</f>
        <v>-</v>
      </c>
      <c r="G674" s="7" t="str">
        <f t="shared" si="21"/>
        <v>-</v>
      </c>
    </row>
    <row r="675" spans="1:7">
      <c r="A675">
        <v>674</v>
      </c>
      <c r="B675">
        <v>0.99099999999999999</v>
      </c>
      <c r="C675" t="s">
        <v>3</v>
      </c>
      <c r="D675" t="s">
        <v>1</v>
      </c>
      <c r="E675" t="str">
        <f t="shared" si="20"/>
        <v>良</v>
      </c>
      <c r="F675" s="7">
        <f>IF(A675="","",IF(E675="並","-",HLOOKUP(E675,単価表!$B$1:$D$2,2,FALSE)*B675))</f>
        <v>1189.2</v>
      </c>
      <c r="G675" s="7">
        <f t="shared" si="21"/>
        <v>1200</v>
      </c>
    </row>
    <row r="676" spans="1:7">
      <c r="A676">
        <v>675</v>
      </c>
      <c r="B676">
        <v>2.7389999999999999</v>
      </c>
      <c r="C676" t="s">
        <v>1</v>
      </c>
      <c r="D676" t="s">
        <v>1</v>
      </c>
      <c r="E676" t="str">
        <f t="shared" si="20"/>
        <v>優</v>
      </c>
      <c r="F676" s="7">
        <f>IF(A676="","",IF(E676="並","-",HLOOKUP(E676,単価表!$B$1:$D$2,2,FALSE)*B676))</f>
        <v>4108.5</v>
      </c>
      <c r="G676" s="7">
        <f t="shared" si="21"/>
        <v>4150</v>
      </c>
    </row>
    <row r="677" spans="1:7">
      <c r="A677">
        <v>676</v>
      </c>
      <c r="B677">
        <v>1.89</v>
      </c>
      <c r="C677" t="s">
        <v>1</v>
      </c>
      <c r="D677" t="s">
        <v>1</v>
      </c>
      <c r="E677" t="str">
        <f t="shared" si="20"/>
        <v>優</v>
      </c>
      <c r="F677" s="7">
        <f>IF(A677="","",IF(E677="並","-",HLOOKUP(E677,単価表!$B$1:$D$2,2,FALSE)*B677))</f>
        <v>2835</v>
      </c>
      <c r="G677" s="7">
        <f t="shared" si="21"/>
        <v>2850</v>
      </c>
    </row>
    <row r="678" spans="1:7">
      <c r="A678">
        <v>677</v>
      </c>
      <c r="B678">
        <v>2.5449999999999999</v>
      </c>
      <c r="C678" t="s">
        <v>5</v>
      </c>
      <c r="D678" t="s">
        <v>5</v>
      </c>
      <c r="E678" t="str">
        <f t="shared" si="20"/>
        <v>並</v>
      </c>
      <c r="F678" s="7" t="str">
        <f>IF(A678="","",IF(E678="並","-",HLOOKUP(E678,単価表!$B$1:$D$2,2,FALSE)*B678))</f>
        <v>-</v>
      </c>
      <c r="G678" s="7" t="str">
        <f t="shared" si="21"/>
        <v>-</v>
      </c>
    </row>
    <row r="679" spans="1:7">
      <c r="A679">
        <v>678</v>
      </c>
      <c r="B679">
        <v>1.7629999999999999</v>
      </c>
      <c r="C679" t="s">
        <v>1</v>
      </c>
      <c r="D679" t="s">
        <v>1</v>
      </c>
      <c r="E679" t="str">
        <f t="shared" si="20"/>
        <v>優</v>
      </c>
      <c r="F679" s="7">
        <f>IF(A679="","",IF(E679="並","-",HLOOKUP(E679,単価表!$B$1:$D$2,2,FALSE)*B679))</f>
        <v>2644.5</v>
      </c>
      <c r="G679" s="7">
        <f t="shared" si="21"/>
        <v>2650</v>
      </c>
    </row>
    <row r="680" spans="1:7">
      <c r="A680">
        <v>679</v>
      </c>
      <c r="B680">
        <v>2.9119999999999999</v>
      </c>
      <c r="C680" t="s">
        <v>1</v>
      </c>
      <c r="D680" t="s">
        <v>1</v>
      </c>
      <c r="E680" t="str">
        <f t="shared" si="20"/>
        <v>優</v>
      </c>
      <c r="F680" s="7">
        <f>IF(A680="","",IF(E680="並","-",HLOOKUP(E680,単価表!$B$1:$D$2,2,FALSE)*B680))</f>
        <v>4368</v>
      </c>
      <c r="G680" s="7">
        <f t="shared" si="21"/>
        <v>4400</v>
      </c>
    </row>
    <row r="681" spans="1:7">
      <c r="A681">
        <v>680</v>
      </c>
      <c r="B681">
        <v>2.31</v>
      </c>
      <c r="C681" t="s">
        <v>3</v>
      </c>
      <c r="D681" t="s">
        <v>1</v>
      </c>
      <c r="E681" t="str">
        <f t="shared" si="20"/>
        <v>良</v>
      </c>
      <c r="F681" s="7">
        <f>IF(A681="","",IF(E681="並","-",HLOOKUP(E681,単価表!$B$1:$D$2,2,FALSE)*B681))</f>
        <v>2772</v>
      </c>
      <c r="G681" s="7">
        <f t="shared" si="21"/>
        <v>2800</v>
      </c>
    </row>
    <row r="682" spans="1:7">
      <c r="A682">
        <v>681</v>
      </c>
      <c r="B682">
        <v>0.96</v>
      </c>
      <c r="C682" t="s">
        <v>5</v>
      </c>
      <c r="D682" t="s">
        <v>3</v>
      </c>
      <c r="E682" t="str">
        <f t="shared" si="20"/>
        <v>並</v>
      </c>
      <c r="F682" s="7" t="str">
        <f>IF(A682="","",IF(E682="並","-",HLOOKUP(E682,単価表!$B$1:$D$2,2,FALSE)*B682))</f>
        <v>-</v>
      </c>
      <c r="G682" s="7" t="str">
        <f t="shared" si="21"/>
        <v>-</v>
      </c>
    </row>
    <row r="683" spans="1:7">
      <c r="A683">
        <v>682</v>
      </c>
      <c r="B683">
        <v>2.83</v>
      </c>
      <c r="C683" t="s">
        <v>5</v>
      </c>
      <c r="D683" t="s">
        <v>1</v>
      </c>
      <c r="E683" t="str">
        <f t="shared" si="20"/>
        <v>並</v>
      </c>
      <c r="F683" s="7" t="str">
        <f>IF(A683="","",IF(E683="並","-",HLOOKUP(E683,単価表!$B$1:$D$2,2,FALSE)*B683))</f>
        <v>-</v>
      </c>
      <c r="G683" s="7" t="str">
        <f t="shared" si="21"/>
        <v>-</v>
      </c>
    </row>
    <row r="684" spans="1:7">
      <c r="A684">
        <v>683</v>
      </c>
      <c r="B684">
        <v>0.874</v>
      </c>
      <c r="C684" t="s">
        <v>1</v>
      </c>
      <c r="D684" t="s">
        <v>5</v>
      </c>
      <c r="E684" t="str">
        <f t="shared" si="20"/>
        <v>並</v>
      </c>
      <c r="F684" s="7" t="str">
        <f>IF(A684="","",IF(E684="並","-",HLOOKUP(E684,単価表!$B$1:$D$2,2,FALSE)*B684))</f>
        <v>-</v>
      </c>
      <c r="G684" s="7" t="str">
        <f t="shared" si="21"/>
        <v>-</v>
      </c>
    </row>
    <row r="685" spans="1:7">
      <c r="A685">
        <v>684</v>
      </c>
      <c r="B685">
        <v>0.503</v>
      </c>
      <c r="C685" t="s">
        <v>3</v>
      </c>
      <c r="D685" t="s">
        <v>5</v>
      </c>
      <c r="E685" t="str">
        <f t="shared" si="20"/>
        <v>並</v>
      </c>
      <c r="F685" s="7" t="str">
        <f>IF(A685="","",IF(E685="並","-",HLOOKUP(E685,単価表!$B$1:$D$2,2,FALSE)*B685))</f>
        <v>-</v>
      </c>
      <c r="G685" s="7" t="str">
        <f t="shared" si="21"/>
        <v>-</v>
      </c>
    </row>
    <row r="686" spans="1:7">
      <c r="A686">
        <v>685</v>
      </c>
      <c r="B686">
        <v>1.5489999999999999</v>
      </c>
      <c r="C686" t="s">
        <v>5</v>
      </c>
      <c r="D686" t="s">
        <v>1</v>
      </c>
      <c r="E686" t="str">
        <f t="shared" si="20"/>
        <v>並</v>
      </c>
      <c r="F686" s="7" t="str">
        <f>IF(A686="","",IF(E686="並","-",HLOOKUP(E686,単価表!$B$1:$D$2,2,FALSE)*B686))</f>
        <v>-</v>
      </c>
      <c r="G686" s="7" t="str">
        <f t="shared" si="21"/>
        <v>-</v>
      </c>
    </row>
    <row r="687" spans="1:7">
      <c r="A687">
        <v>686</v>
      </c>
      <c r="B687">
        <v>0.69099999999999995</v>
      </c>
      <c r="C687" t="s">
        <v>3</v>
      </c>
      <c r="D687" t="s">
        <v>5</v>
      </c>
      <c r="E687" t="str">
        <f t="shared" si="20"/>
        <v>並</v>
      </c>
      <c r="F687" s="7" t="str">
        <f>IF(A687="","",IF(E687="並","-",HLOOKUP(E687,単価表!$B$1:$D$2,2,FALSE)*B687))</f>
        <v>-</v>
      </c>
      <c r="G687" s="7" t="str">
        <f t="shared" si="21"/>
        <v>-</v>
      </c>
    </row>
    <row r="688" spans="1:7">
      <c r="A688">
        <v>687</v>
      </c>
      <c r="B688">
        <v>2.024</v>
      </c>
      <c r="C688" t="s">
        <v>1</v>
      </c>
      <c r="D688" t="s">
        <v>5</v>
      </c>
      <c r="E688" t="str">
        <f t="shared" si="20"/>
        <v>並</v>
      </c>
      <c r="F688" s="7" t="str">
        <f>IF(A688="","",IF(E688="並","-",HLOOKUP(E688,単価表!$B$1:$D$2,2,FALSE)*B688))</f>
        <v>-</v>
      </c>
      <c r="G688" s="7" t="str">
        <f t="shared" si="21"/>
        <v>-</v>
      </c>
    </row>
    <row r="689" spans="1:7">
      <c r="A689">
        <v>688</v>
      </c>
      <c r="B689">
        <v>0.84499999999999997</v>
      </c>
      <c r="C689" t="s">
        <v>1</v>
      </c>
      <c r="D689" t="s">
        <v>3</v>
      </c>
      <c r="E689" t="str">
        <f t="shared" si="20"/>
        <v>良</v>
      </c>
      <c r="F689" s="7">
        <f>IF(A689="","",IF(E689="並","-",HLOOKUP(E689,単価表!$B$1:$D$2,2,FALSE)*B689))</f>
        <v>1014</v>
      </c>
      <c r="G689" s="7">
        <f t="shared" si="21"/>
        <v>1050</v>
      </c>
    </row>
    <row r="690" spans="1:7">
      <c r="A690">
        <v>689</v>
      </c>
      <c r="B690">
        <v>2.0019999999999998</v>
      </c>
      <c r="C690" t="s">
        <v>3</v>
      </c>
      <c r="D690" t="s">
        <v>3</v>
      </c>
      <c r="E690" t="str">
        <f t="shared" si="20"/>
        <v>良</v>
      </c>
      <c r="F690" s="7">
        <f>IF(A690="","",IF(E690="並","-",HLOOKUP(E690,単価表!$B$1:$D$2,2,FALSE)*B690))</f>
        <v>2402.3999999999996</v>
      </c>
      <c r="G690" s="7">
        <f t="shared" si="21"/>
        <v>2450</v>
      </c>
    </row>
    <row r="691" spans="1:7">
      <c r="A691">
        <v>690</v>
      </c>
      <c r="B691">
        <v>1.45</v>
      </c>
      <c r="C691" t="s">
        <v>3</v>
      </c>
      <c r="D691" t="s">
        <v>1</v>
      </c>
      <c r="E691" t="str">
        <f t="shared" si="20"/>
        <v>良</v>
      </c>
      <c r="F691" s="7">
        <f>IF(A691="","",IF(E691="並","-",HLOOKUP(E691,単価表!$B$1:$D$2,2,FALSE)*B691))</f>
        <v>1740</v>
      </c>
      <c r="G691" s="7">
        <f t="shared" si="21"/>
        <v>1750</v>
      </c>
    </row>
    <row r="692" spans="1:7">
      <c r="A692">
        <v>691</v>
      </c>
      <c r="B692">
        <v>1.91</v>
      </c>
      <c r="C692" t="s">
        <v>1</v>
      </c>
      <c r="D692" t="s">
        <v>5</v>
      </c>
      <c r="E692" t="str">
        <f t="shared" si="20"/>
        <v>並</v>
      </c>
      <c r="F692" s="7" t="str">
        <f>IF(A692="","",IF(E692="並","-",HLOOKUP(E692,単価表!$B$1:$D$2,2,FALSE)*B692))</f>
        <v>-</v>
      </c>
      <c r="G692" s="7" t="str">
        <f t="shared" si="21"/>
        <v>-</v>
      </c>
    </row>
    <row r="693" spans="1:7">
      <c r="A693">
        <v>692</v>
      </c>
      <c r="B693">
        <v>0.76300000000000001</v>
      </c>
      <c r="C693" t="s">
        <v>5</v>
      </c>
      <c r="D693" t="s">
        <v>1</v>
      </c>
      <c r="E693" t="str">
        <f t="shared" si="20"/>
        <v>並</v>
      </c>
      <c r="F693" s="7" t="str">
        <f>IF(A693="","",IF(E693="並","-",HLOOKUP(E693,単価表!$B$1:$D$2,2,FALSE)*B693))</f>
        <v>-</v>
      </c>
      <c r="G693" s="7" t="str">
        <f t="shared" si="21"/>
        <v>-</v>
      </c>
    </row>
    <row r="694" spans="1:7">
      <c r="A694">
        <v>693</v>
      </c>
      <c r="B694">
        <v>1.131</v>
      </c>
      <c r="C694" t="s">
        <v>3</v>
      </c>
      <c r="D694" t="s">
        <v>1</v>
      </c>
      <c r="E694" t="str">
        <f t="shared" si="20"/>
        <v>良</v>
      </c>
      <c r="F694" s="7">
        <f>IF(A694="","",IF(E694="並","-",HLOOKUP(E694,単価表!$B$1:$D$2,2,FALSE)*B694))</f>
        <v>1357.2</v>
      </c>
      <c r="G694" s="7">
        <f t="shared" si="21"/>
        <v>1400</v>
      </c>
    </row>
    <row r="695" spans="1:7">
      <c r="A695">
        <v>694</v>
      </c>
      <c r="B695">
        <v>2.2389999999999999</v>
      </c>
      <c r="C695" t="s">
        <v>5</v>
      </c>
      <c r="D695" t="s">
        <v>5</v>
      </c>
      <c r="E695" t="str">
        <f t="shared" si="20"/>
        <v>並</v>
      </c>
      <c r="F695" s="7" t="str">
        <f>IF(A695="","",IF(E695="並","-",HLOOKUP(E695,単価表!$B$1:$D$2,2,FALSE)*B695))</f>
        <v>-</v>
      </c>
      <c r="G695" s="7" t="str">
        <f t="shared" si="21"/>
        <v>-</v>
      </c>
    </row>
    <row r="696" spans="1:7">
      <c r="A696">
        <v>695</v>
      </c>
      <c r="B696">
        <v>1.1990000000000001</v>
      </c>
      <c r="C696" t="s">
        <v>3</v>
      </c>
      <c r="D696" t="s">
        <v>5</v>
      </c>
      <c r="E696" t="str">
        <f t="shared" si="20"/>
        <v>並</v>
      </c>
      <c r="F696" s="7" t="str">
        <f>IF(A696="","",IF(E696="並","-",HLOOKUP(E696,単価表!$B$1:$D$2,2,FALSE)*B696))</f>
        <v>-</v>
      </c>
      <c r="G696" s="7" t="str">
        <f t="shared" si="21"/>
        <v>-</v>
      </c>
    </row>
    <row r="697" spans="1:7">
      <c r="A697">
        <v>696</v>
      </c>
      <c r="B697">
        <v>1.4239999999999999</v>
      </c>
      <c r="C697" t="s">
        <v>5</v>
      </c>
      <c r="D697" t="s">
        <v>3</v>
      </c>
      <c r="E697" t="str">
        <f t="shared" si="20"/>
        <v>並</v>
      </c>
      <c r="F697" s="7" t="str">
        <f>IF(A697="","",IF(E697="並","-",HLOOKUP(E697,単価表!$B$1:$D$2,2,FALSE)*B697))</f>
        <v>-</v>
      </c>
      <c r="G697" s="7" t="str">
        <f t="shared" si="21"/>
        <v>-</v>
      </c>
    </row>
    <row r="698" spans="1:7">
      <c r="A698">
        <v>697</v>
      </c>
      <c r="B698">
        <v>0.63400000000000001</v>
      </c>
      <c r="C698" t="s">
        <v>3</v>
      </c>
      <c r="D698" t="s">
        <v>3</v>
      </c>
      <c r="E698" t="str">
        <f t="shared" si="20"/>
        <v>良</v>
      </c>
      <c r="F698" s="7">
        <f>IF(A698="","",IF(E698="並","-",HLOOKUP(E698,単価表!$B$1:$D$2,2,FALSE)*B698))</f>
        <v>760.8</v>
      </c>
      <c r="G698" s="7">
        <f t="shared" si="21"/>
        <v>800</v>
      </c>
    </row>
    <row r="699" spans="1:7">
      <c r="A699">
        <v>698</v>
      </c>
      <c r="B699">
        <v>1.4319999999999999</v>
      </c>
      <c r="C699" t="s">
        <v>5</v>
      </c>
      <c r="D699" t="s">
        <v>1</v>
      </c>
      <c r="E699" t="str">
        <f t="shared" si="20"/>
        <v>並</v>
      </c>
      <c r="F699" s="7" t="str">
        <f>IF(A699="","",IF(E699="並","-",HLOOKUP(E699,単価表!$B$1:$D$2,2,FALSE)*B699))</f>
        <v>-</v>
      </c>
      <c r="G699" s="7" t="str">
        <f t="shared" si="21"/>
        <v>-</v>
      </c>
    </row>
    <row r="700" spans="1:7">
      <c r="A700">
        <v>699</v>
      </c>
      <c r="B700">
        <v>1.6319999999999999</v>
      </c>
      <c r="C700" t="s">
        <v>5</v>
      </c>
      <c r="D700" t="s">
        <v>3</v>
      </c>
      <c r="E700" t="str">
        <f t="shared" si="20"/>
        <v>並</v>
      </c>
      <c r="F700" s="7" t="str">
        <f>IF(A700="","",IF(E700="並","-",HLOOKUP(E700,単価表!$B$1:$D$2,2,FALSE)*B700))</f>
        <v>-</v>
      </c>
      <c r="G700" s="7" t="str">
        <f t="shared" si="21"/>
        <v>-</v>
      </c>
    </row>
    <row r="701" spans="1:7">
      <c r="A701">
        <v>700</v>
      </c>
      <c r="B701">
        <v>1.1639999999999999</v>
      </c>
      <c r="C701" t="s">
        <v>3</v>
      </c>
      <c r="D701" t="s">
        <v>1</v>
      </c>
      <c r="E701" t="str">
        <f t="shared" si="20"/>
        <v>良</v>
      </c>
      <c r="F701" s="7">
        <f>IF(A701="","",IF(E701="並","-",HLOOKUP(E701,単価表!$B$1:$D$2,2,FALSE)*B701))</f>
        <v>1396.8</v>
      </c>
      <c r="G701" s="7">
        <f t="shared" si="21"/>
        <v>1400</v>
      </c>
    </row>
    <row r="702" spans="1:7">
      <c r="A702">
        <v>701</v>
      </c>
      <c r="B702">
        <v>2.875</v>
      </c>
      <c r="C702" t="s">
        <v>1</v>
      </c>
      <c r="D702" t="s">
        <v>3</v>
      </c>
      <c r="E702" t="str">
        <f t="shared" si="20"/>
        <v>良</v>
      </c>
      <c r="F702" s="7">
        <f>IF(A702="","",IF(E702="並","-",HLOOKUP(E702,単価表!$B$1:$D$2,2,FALSE)*B702))</f>
        <v>3450</v>
      </c>
      <c r="G702" s="7">
        <f t="shared" si="21"/>
        <v>3450</v>
      </c>
    </row>
    <row r="703" spans="1:7">
      <c r="A703">
        <v>702</v>
      </c>
      <c r="B703">
        <v>0.53800000000000003</v>
      </c>
      <c r="C703" t="s">
        <v>3</v>
      </c>
      <c r="D703" t="s">
        <v>5</v>
      </c>
      <c r="E703" t="str">
        <f t="shared" si="20"/>
        <v>並</v>
      </c>
      <c r="F703" s="7" t="str">
        <f>IF(A703="","",IF(E703="並","-",HLOOKUP(E703,単価表!$B$1:$D$2,2,FALSE)*B703))</f>
        <v>-</v>
      </c>
      <c r="G703" s="7" t="str">
        <f t="shared" si="21"/>
        <v>-</v>
      </c>
    </row>
    <row r="704" spans="1:7">
      <c r="A704">
        <v>703</v>
      </c>
      <c r="B704">
        <v>2.4950000000000001</v>
      </c>
      <c r="C704" t="s">
        <v>5</v>
      </c>
      <c r="D704" t="s">
        <v>1</v>
      </c>
      <c r="E704" t="str">
        <f t="shared" si="20"/>
        <v>並</v>
      </c>
      <c r="F704" s="7" t="str">
        <f>IF(A704="","",IF(E704="並","-",HLOOKUP(E704,単価表!$B$1:$D$2,2,FALSE)*B704))</f>
        <v>-</v>
      </c>
      <c r="G704" s="7" t="str">
        <f t="shared" si="21"/>
        <v>-</v>
      </c>
    </row>
    <row r="705" spans="1:7">
      <c r="A705">
        <v>704</v>
      </c>
      <c r="B705">
        <v>2.129</v>
      </c>
      <c r="C705" t="s">
        <v>5</v>
      </c>
      <c r="D705" t="s">
        <v>5</v>
      </c>
      <c r="E705" t="str">
        <f t="shared" si="20"/>
        <v>並</v>
      </c>
      <c r="F705" s="7" t="str">
        <f>IF(A705="","",IF(E705="並","-",HLOOKUP(E705,単価表!$B$1:$D$2,2,FALSE)*B705))</f>
        <v>-</v>
      </c>
      <c r="G705" s="7" t="str">
        <f t="shared" si="21"/>
        <v>-</v>
      </c>
    </row>
    <row r="706" spans="1:7">
      <c r="A706">
        <v>705</v>
      </c>
      <c r="B706">
        <v>1.0049999999999999</v>
      </c>
      <c r="C706" t="s">
        <v>5</v>
      </c>
      <c r="D706" t="s">
        <v>3</v>
      </c>
      <c r="E706" t="str">
        <f t="shared" si="20"/>
        <v>並</v>
      </c>
      <c r="F706" s="7" t="str">
        <f>IF(A706="","",IF(E706="並","-",HLOOKUP(E706,単価表!$B$1:$D$2,2,FALSE)*B706))</f>
        <v>-</v>
      </c>
      <c r="G706" s="7" t="str">
        <f t="shared" si="21"/>
        <v>-</v>
      </c>
    </row>
    <row r="707" spans="1:7">
      <c r="A707">
        <v>706</v>
      </c>
      <c r="B707">
        <v>2.2189999999999999</v>
      </c>
      <c r="C707" t="s">
        <v>5</v>
      </c>
      <c r="D707" t="s">
        <v>3</v>
      </c>
      <c r="E707" t="str">
        <f t="shared" ref="E707:E770" si="22">IF(A707="","",IF(OR(C707="並",D707="並"),"並",IF(OR(C707="良",D707="良"),"良","優")))</f>
        <v>並</v>
      </c>
      <c r="F707" s="7" t="str">
        <f>IF(A707="","",IF(E707="並","-",HLOOKUP(E707,単価表!$B$1:$D$2,2,FALSE)*B707))</f>
        <v>-</v>
      </c>
      <c r="G707" s="7" t="str">
        <f t="shared" si="21"/>
        <v>-</v>
      </c>
    </row>
    <row r="708" spans="1:7">
      <c r="A708">
        <v>707</v>
      </c>
      <c r="B708">
        <v>2.621</v>
      </c>
      <c r="C708" t="s">
        <v>1</v>
      </c>
      <c r="D708" t="s">
        <v>3</v>
      </c>
      <c r="E708" t="str">
        <f t="shared" si="22"/>
        <v>良</v>
      </c>
      <c r="F708" s="7">
        <f>IF(A708="","",IF(E708="並","-",HLOOKUP(E708,単価表!$B$1:$D$2,2,FALSE)*B708))</f>
        <v>3145.2</v>
      </c>
      <c r="G708" s="7">
        <f t="shared" ref="G708:G771" si="23">IF(A708="","",IF(E708="並","-",ROUNDUP(F708/50,0)*50))</f>
        <v>3150</v>
      </c>
    </row>
    <row r="709" spans="1:7">
      <c r="A709">
        <v>708</v>
      </c>
      <c r="B709">
        <v>2.2160000000000002</v>
      </c>
      <c r="C709" t="s">
        <v>1</v>
      </c>
      <c r="D709" t="s">
        <v>3</v>
      </c>
      <c r="E709" t="str">
        <f t="shared" si="22"/>
        <v>良</v>
      </c>
      <c r="F709" s="7">
        <f>IF(A709="","",IF(E709="並","-",HLOOKUP(E709,単価表!$B$1:$D$2,2,FALSE)*B709))</f>
        <v>2659.2000000000003</v>
      </c>
      <c r="G709" s="7">
        <f t="shared" si="23"/>
        <v>2700</v>
      </c>
    </row>
    <row r="710" spans="1:7">
      <c r="A710">
        <v>709</v>
      </c>
      <c r="B710">
        <v>2.1629999999999998</v>
      </c>
      <c r="C710" t="s">
        <v>3</v>
      </c>
      <c r="D710" t="s">
        <v>5</v>
      </c>
      <c r="E710" t="str">
        <f t="shared" si="22"/>
        <v>並</v>
      </c>
      <c r="F710" s="7" t="str">
        <f>IF(A710="","",IF(E710="並","-",HLOOKUP(E710,単価表!$B$1:$D$2,2,FALSE)*B710))</f>
        <v>-</v>
      </c>
      <c r="G710" s="7" t="str">
        <f t="shared" si="23"/>
        <v>-</v>
      </c>
    </row>
    <row r="711" spans="1:7">
      <c r="A711">
        <v>710</v>
      </c>
      <c r="B711">
        <v>0.85</v>
      </c>
      <c r="C711" t="s">
        <v>3</v>
      </c>
      <c r="D711" t="s">
        <v>3</v>
      </c>
      <c r="E711" t="str">
        <f t="shared" si="22"/>
        <v>良</v>
      </c>
      <c r="F711" s="7">
        <f>IF(A711="","",IF(E711="並","-",HLOOKUP(E711,単価表!$B$1:$D$2,2,FALSE)*B711))</f>
        <v>1020</v>
      </c>
      <c r="G711" s="7">
        <f t="shared" si="23"/>
        <v>1050</v>
      </c>
    </row>
    <row r="712" spans="1:7">
      <c r="A712">
        <v>711</v>
      </c>
      <c r="B712">
        <v>2.9460000000000002</v>
      </c>
      <c r="C712" t="s">
        <v>3</v>
      </c>
      <c r="D712" t="s">
        <v>5</v>
      </c>
      <c r="E712" t="str">
        <f t="shared" si="22"/>
        <v>並</v>
      </c>
      <c r="F712" s="7" t="str">
        <f>IF(A712="","",IF(E712="並","-",HLOOKUP(E712,単価表!$B$1:$D$2,2,FALSE)*B712))</f>
        <v>-</v>
      </c>
      <c r="G712" s="7" t="str">
        <f t="shared" si="23"/>
        <v>-</v>
      </c>
    </row>
    <row r="713" spans="1:7">
      <c r="A713">
        <v>712</v>
      </c>
      <c r="B713">
        <v>1.599</v>
      </c>
      <c r="C713" t="s">
        <v>1</v>
      </c>
      <c r="D713" t="s">
        <v>1</v>
      </c>
      <c r="E713" t="str">
        <f t="shared" si="22"/>
        <v>優</v>
      </c>
      <c r="F713" s="7">
        <f>IF(A713="","",IF(E713="並","-",HLOOKUP(E713,単価表!$B$1:$D$2,2,FALSE)*B713))</f>
        <v>2398.5</v>
      </c>
      <c r="G713" s="7">
        <f t="shared" si="23"/>
        <v>2400</v>
      </c>
    </row>
    <row r="714" spans="1:7">
      <c r="A714">
        <v>713</v>
      </c>
      <c r="B714">
        <v>2.3849999999999998</v>
      </c>
      <c r="C714" t="s">
        <v>5</v>
      </c>
      <c r="D714" t="s">
        <v>5</v>
      </c>
      <c r="E714" t="str">
        <f t="shared" si="22"/>
        <v>並</v>
      </c>
      <c r="F714" s="7" t="str">
        <f>IF(A714="","",IF(E714="並","-",HLOOKUP(E714,単価表!$B$1:$D$2,2,FALSE)*B714))</f>
        <v>-</v>
      </c>
      <c r="G714" s="7" t="str">
        <f t="shared" si="23"/>
        <v>-</v>
      </c>
    </row>
    <row r="715" spans="1:7">
      <c r="A715">
        <v>714</v>
      </c>
      <c r="B715">
        <v>1.1879999999999999</v>
      </c>
      <c r="C715" t="s">
        <v>5</v>
      </c>
      <c r="D715" t="s">
        <v>3</v>
      </c>
      <c r="E715" t="str">
        <f t="shared" si="22"/>
        <v>並</v>
      </c>
      <c r="F715" s="7" t="str">
        <f>IF(A715="","",IF(E715="並","-",HLOOKUP(E715,単価表!$B$1:$D$2,2,FALSE)*B715))</f>
        <v>-</v>
      </c>
      <c r="G715" s="7" t="str">
        <f t="shared" si="23"/>
        <v>-</v>
      </c>
    </row>
    <row r="716" spans="1:7">
      <c r="A716">
        <v>715</v>
      </c>
      <c r="B716">
        <v>2.5569999999999999</v>
      </c>
      <c r="C716" t="s">
        <v>1</v>
      </c>
      <c r="D716" t="s">
        <v>3</v>
      </c>
      <c r="E716" t="str">
        <f t="shared" si="22"/>
        <v>良</v>
      </c>
      <c r="F716" s="7">
        <f>IF(A716="","",IF(E716="並","-",HLOOKUP(E716,単価表!$B$1:$D$2,2,FALSE)*B716))</f>
        <v>3068.4</v>
      </c>
      <c r="G716" s="7">
        <f t="shared" si="23"/>
        <v>3100</v>
      </c>
    </row>
    <row r="717" spans="1:7">
      <c r="A717">
        <v>716</v>
      </c>
      <c r="B717">
        <v>1.212</v>
      </c>
      <c r="C717" t="s">
        <v>5</v>
      </c>
      <c r="D717" t="s">
        <v>5</v>
      </c>
      <c r="E717" t="str">
        <f t="shared" si="22"/>
        <v>並</v>
      </c>
      <c r="F717" s="7" t="str">
        <f>IF(A717="","",IF(E717="並","-",HLOOKUP(E717,単価表!$B$1:$D$2,2,FALSE)*B717))</f>
        <v>-</v>
      </c>
      <c r="G717" s="7" t="str">
        <f t="shared" si="23"/>
        <v>-</v>
      </c>
    </row>
    <row r="718" spans="1:7">
      <c r="A718">
        <v>717</v>
      </c>
      <c r="B718">
        <v>1.7649999999999999</v>
      </c>
      <c r="C718" t="s">
        <v>3</v>
      </c>
      <c r="D718" t="s">
        <v>3</v>
      </c>
      <c r="E718" t="str">
        <f t="shared" si="22"/>
        <v>良</v>
      </c>
      <c r="F718" s="7">
        <f>IF(A718="","",IF(E718="並","-",HLOOKUP(E718,単価表!$B$1:$D$2,2,FALSE)*B718))</f>
        <v>2118</v>
      </c>
      <c r="G718" s="7">
        <f t="shared" si="23"/>
        <v>2150</v>
      </c>
    </row>
    <row r="719" spans="1:7">
      <c r="A719">
        <v>718</v>
      </c>
      <c r="B719">
        <v>2.9239999999999999</v>
      </c>
      <c r="C719" t="s">
        <v>3</v>
      </c>
      <c r="D719" t="s">
        <v>3</v>
      </c>
      <c r="E719" t="str">
        <f t="shared" si="22"/>
        <v>良</v>
      </c>
      <c r="F719" s="7">
        <f>IF(A719="","",IF(E719="並","-",HLOOKUP(E719,単価表!$B$1:$D$2,2,FALSE)*B719))</f>
        <v>3508.7999999999997</v>
      </c>
      <c r="G719" s="7">
        <f t="shared" si="23"/>
        <v>3550</v>
      </c>
    </row>
    <row r="720" spans="1:7">
      <c r="A720">
        <v>719</v>
      </c>
      <c r="B720">
        <v>2.8109999999999999</v>
      </c>
      <c r="C720" t="s">
        <v>5</v>
      </c>
      <c r="D720" t="s">
        <v>3</v>
      </c>
      <c r="E720" t="str">
        <f t="shared" si="22"/>
        <v>並</v>
      </c>
      <c r="F720" s="7" t="str">
        <f>IF(A720="","",IF(E720="並","-",HLOOKUP(E720,単価表!$B$1:$D$2,2,FALSE)*B720))</f>
        <v>-</v>
      </c>
      <c r="G720" s="7" t="str">
        <f t="shared" si="23"/>
        <v>-</v>
      </c>
    </row>
    <row r="721" spans="1:7">
      <c r="A721">
        <v>720</v>
      </c>
      <c r="B721">
        <v>0.66</v>
      </c>
      <c r="C721" t="s">
        <v>1</v>
      </c>
      <c r="D721" t="s">
        <v>3</v>
      </c>
      <c r="E721" t="str">
        <f t="shared" si="22"/>
        <v>良</v>
      </c>
      <c r="F721" s="7">
        <f>IF(A721="","",IF(E721="並","-",HLOOKUP(E721,単価表!$B$1:$D$2,2,FALSE)*B721))</f>
        <v>792</v>
      </c>
      <c r="G721" s="7">
        <f t="shared" si="23"/>
        <v>800</v>
      </c>
    </row>
    <row r="722" spans="1:7">
      <c r="A722">
        <v>721</v>
      </c>
      <c r="B722">
        <v>1.343</v>
      </c>
      <c r="C722" t="s">
        <v>5</v>
      </c>
      <c r="D722" t="s">
        <v>5</v>
      </c>
      <c r="E722" t="str">
        <f t="shared" si="22"/>
        <v>並</v>
      </c>
      <c r="F722" s="7" t="str">
        <f>IF(A722="","",IF(E722="並","-",HLOOKUP(E722,単価表!$B$1:$D$2,2,FALSE)*B722))</f>
        <v>-</v>
      </c>
      <c r="G722" s="7" t="str">
        <f t="shared" si="23"/>
        <v>-</v>
      </c>
    </row>
    <row r="723" spans="1:7">
      <c r="A723">
        <v>722</v>
      </c>
      <c r="B723">
        <v>0.52300000000000002</v>
      </c>
      <c r="C723" t="s">
        <v>1</v>
      </c>
      <c r="D723" t="s">
        <v>3</v>
      </c>
      <c r="E723" t="str">
        <f t="shared" si="22"/>
        <v>良</v>
      </c>
      <c r="F723" s="7">
        <f>IF(A723="","",IF(E723="並","-",HLOOKUP(E723,単価表!$B$1:$D$2,2,FALSE)*B723))</f>
        <v>627.6</v>
      </c>
      <c r="G723" s="7">
        <f t="shared" si="23"/>
        <v>650</v>
      </c>
    </row>
    <row r="724" spans="1:7">
      <c r="A724">
        <v>723</v>
      </c>
      <c r="B724">
        <v>1.7549999999999999</v>
      </c>
      <c r="C724" t="s">
        <v>5</v>
      </c>
      <c r="D724" t="s">
        <v>1</v>
      </c>
      <c r="E724" t="str">
        <f t="shared" si="22"/>
        <v>並</v>
      </c>
      <c r="F724" s="7" t="str">
        <f>IF(A724="","",IF(E724="並","-",HLOOKUP(E724,単価表!$B$1:$D$2,2,FALSE)*B724))</f>
        <v>-</v>
      </c>
      <c r="G724" s="7" t="str">
        <f t="shared" si="23"/>
        <v>-</v>
      </c>
    </row>
    <row r="725" spans="1:7">
      <c r="A725">
        <v>724</v>
      </c>
      <c r="B725">
        <v>2.0289999999999999</v>
      </c>
      <c r="C725" t="s">
        <v>3</v>
      </c>
      <c r="D725" t="s">
        <v>5</v>
      </c>
      <c r="E725" t="str">
        <f t="shared" si="22"/>
        <v>並</v>
      </c>
      <c r="F725" s="7" t="str">
        <f>IF(A725="","",IF(E725="並","-",HLOOKUP(E725,単価表!$B$1:$D$2,2,FALSE)*B725))</f>
        <v>-</v>
      </c>
      <c r="G725" s="7" t="str">
        <f t="shared" si="23"/>
        <v>-</v>
      </c>
    </row>
    <row r="726" spans="1:7">
      <c r="A726">
        <v>725</v>
      </c>
      <c r="B726">
        <v>2.67</v>
      </c>
      <c r="C726" t="s">
        <v>3</v>
      </c>
      <c r="D726" t="s">
        <v>1</v>
      </c>
      <c r="E726" t="str">
        <f t="shared" si="22"/>
        <v>良</v>
      </c>
      <c r="F726" s="7">
        <f>IF(A726="","",IF(E726="並","-",HLOOKUP(E726,単価表!$B$1:$D$2,2,FALSE)*B726))</f>
        <v>3204</v>
      </c>
      <c r="G726" s="7">
        <f t="shared" si="23"/>
        <v>3250</v>
      </c>
    </row>
    <row r="727" spans="1:7">
      <c r="A727">
        <v>726</v>
      </c>
      <c r="B727">
        <v>1.3340000000000001</v>
      </c>
      <c r="C727" t="s">
        <v>1</v>
      </c>
      <c r="D727" t="s">
        <v>3</v>
      </c>
      <c r="E727" t="str">
        <f t="shared" si="22"/>
        <v>良</v>
      </c>
      <c r="F727" s="7">
        <f>IF(A727="","",IF(E727="並","-",HLOOKUP(E727,単価表!$B$1:$D$2,2,FALSE)*B727))</f>
        <v>1600.8000000000002</v>
      </c>
      <c r="G727" s="7">
        <f t="shared" si="23"/>
        <v>1650</v>
      </c>
    </row>
    <row r="728" spans="1:7">
      <c r="A728">
        <v>727</v>
      </c>
      <c r="B728">
        <v>0.55000000000000004</v>
      </c>
      <c r="C728" t="s">
        <v>3</v>
      </c>
      <c r="D728" t="s">
        <v>3</v>
      </c>
      <c r="E728" t="str">
        <f t="shared" si="22"/>
        <v>良</v>
      </c>
      <c r="F728" s="7">
        <f>IF(A728="","",IF(E728="並","-",HLOOKUP(E728,単価表!$B$1:$D$2,2,FALSE)*B728))</f>
        <v>660</v>
      </c>
      <c r="G728" s="7">
        <f t="shared" si="23"/>
        <v>700</v>
      </c>
    </row>
    <row r="729" spans="1:7">
      <c r="A729">
        <v>728</v>
      </c>
      <c r="B729">
        <v>2.0649999999999999</v>
      </c>
      <c r="C729" t="s">
        <v>3</v>
      </c>
      <c r="D729" t="s">
        <v>1</v>
      </c>
      <c r="E729" t="str">
        <f t="shared" si="22"/>
        <v>良</v>
      </c>
      <c r="F729" s="7">
        <f>IF(A729="","",IF(E729="並","-",HLOOKUP(E729,単価表!$B$1:$D$2,2,FALSE)*B729))</f>
        <v>2478</v>
      </c>
      <c r="G729" s="7">
        <f t="shared" si="23"/>
        <v>2500</v>
      </c>
    </row>
    <row r="730" spans="1:7">
      <c r="A730">
        <v>729</v>
      </c>
      <c r="B730">
        <v>2.835</v>
      </c>
      <c r="C730" t="s">
        <v>5</v>
      </c>
      <c r="D730" t="s">
        <v>5</v>
      </c>
      <c r="E730" t="str">
        <f t="shared" si="22"/>
        <v>並</v>
      </c>
      <c r="F730" s="7" t="str">
        <f>IF(A730="","",IF(E730="並","-",HLOOKUP(E730,単価表!$B$1:$D$2,2,FALSE)*B730))</f>
        <v>-</v>
      </c>
      <c r="G730" s="7" t="str">
        <f t="shared" si="23"/>
        <v>-</v>
      </c>
    </row>
    <row r="731" spans="1:7">
      <c r="A731">
        <v>730</v>
      </c>
      <c r="B731">
        <v>1.661</v>
      </c>
      <c r="C731" t="s">
        <v>5</v>
      </c>
      <c r="D731" t="s">
        <v>3</v>
      </c>
      <c r="E731" t="str">
        <f t="shared" si="22"/>
        <v>並</v>
      </c>
      <c r="F731" s="7" t="str">
        <f>IF(A731="","",IF(E731="並","-",HLOOKUP(E731,単価表!$B$1:$D$2,2,FALSE)*B731))</f>
        <v>-</v>
      </c>
      <c r="G731" s="7" t="str">
        <f t="shared" si="23"/>
        <v>-</v>
      </c>
    </row>
    <row r="732" spans="1:7">
      <c r="A732">
        <v>731</v>
      </c>
      <c r="B732">
        <v>1.665</v>
      </c>
      <c r="C732" t="s">
        <v>5</v>
      </c>
      <c r="D732" t="s">
        <v>5</v>
      </c>
      <c r="E732" t="str">
        <f t="shared" si="22"/>
        <v>並</v>
      </c>
      <c r="F732" s="7" t="str">
        <f>IF(A732="","",IF(E732="並","-",HLOOKUP(E732,単価表!$B$1:$D$2,2,FALSE)*B732))</f>
        <v>-</v>
      </c>
      <c r="G732" s="7" t="str">
        <f t="shared" si="23"/>
        <v>-</v>
      </c>
    </row>
    <row r="733" spans="1:7">
      <c r="A733">
        <v>732</v>
      </c>
      <c r="B733">
        <v>2.048</v>
      </c>
      <c r="C733" t="s">
        <v>1</v>
      </c>
      <c r="D733" t="s">
        <v>5</v>
      </c>
      <c r="E733" t="str">
        <f t="shared" si="22"/>
        <v>並</v>
      </c>
      <c r="F733" s="7" t="str">
        <f>IF(A733="","",IF(E733="並","-",HLOOKUP(E733,単価表!$B$1:$D$2,2,FALSE)*B733))</f>
        <v>-</v>
      </c>
      <c r="G733" s="7" t="str">
        <f t="shared" si="23"/>
        <v>-</v>
      </c>
    </row>
    <row r="734" spans="1:7">
      <c r="A734">
        <v>733</v>
      </c>
      <c r="B734">
        <v>2.8029999999999999</v>
      </c>
      <c r="C734" t="s">
        <v>1</v>
      </c>
      <c r="D734" t="s">
        <v>3</v>
      </c>
      <c r="E734" t="str">
        <f t="shared" si="22"/>
        <v>良</v>
      </c>
      <c r="F734" s="7">
        <f>IF(A734="","",IF(E734="並","-",HLOOKUP(E734,単価表!$B$1:$D$2,2,FALSE)*B734))</f>
        <v>3363.6</v>
      </c>
      <c r="G734" s="7">
        <f t="shared" si="23"/>
        <v>3400</v>
      </c>
    </row>
    <row r="735" spans="1:7">
      <c r="A735">
        <v>734</v>
      </c>
      <c r="B735">
        <v>2.952</v>
      </c>
      <c r="C735" t="s">
        <v>3</v>
      </c>
      <c r="D735" t="s">
        <v>1</v>
      </c>
      <c r="E735" t="str">
        <f t="shared" si="22"/>
        <v>良</v>
      </c>
      <c r="F735" s="7">
        <f>IF(A735="","",IF(E735="並","-",HLOOKUP(E735,単価表!$B$1:$D$2,2,FALSE)*B735))</f>
        <v>3542.4</v>
      </c>
      <c r="G735" s="7">
        <f t="shared" si="23"/>
        <v>3550</v>
      </c>
    </row>
    <row r="736" spans="1:7">
      <c r="A736">
        <v>735</v>
      </c>
      <c r="B736">
        <v>2.9279999999999999</v>
      </c>
      <c r="C736" t="s">
        <v>5</v>
      </c>
      <c r="D736" t="s">
        <v>3</v>
      </c>
      <c r="E736" t="str">
        <f t="shared" si="22"/>
        <v>並</v>
      </c>
      <c r="F736" s="7" t="str">
        <f>IF(A736="","",IF(E736="並","-",HLOOKUP(E736,単価表!$B$1:$D$2,2,FALSE)*B736))</f>
        <v>-</v>
      </c>
      <c r="G736" s="7" t="str">
        <f t="shared" si="23"/>
        <v>-</v>
      </c>
    </row>
    <row r="737" spans="1:7">
      <c r="A737">
        <v>736</v>
      </c>
      <c r="B737">
        <v>2.8439999999999999</v>
      </c>
      <c r="C737" t="s">
        <v>5</v>
      </c>
      <c r="D737" t="s">
        <v>1</v>
      </c>
      <c r="E737" t="str">
        <f t="shared" si="22"/>
        <v>並</v>
      </c>
      <c r="F737" s="7" t="str">
        <f>IF(A737="","",IF(E737="並","-",HLOOKUP(E737,単価表!$B$1:$D$2,2,FALSE)*B737))</f>
        <v>-</v>
      </c>
      <c r="G737" s="7" t="str">
        <f t="shared" si="23"/>
        <v>-</v>
      </c>
    </row>
    <row r="738" spans="1:7">
      <c r="A738">
        <v>737</v>
      </c>
      <c r="B738">
        <v>2.032</v>
      </c>
      <c r="C738" t="s">
        <v>1</v>
      </c>
      <c r="D738" t="s">
        <v>3</v>
      </c>
      <c r="E738" t="str">
        <f t="shared" si="22"/>
        <v>良</v>
      </c>
      <c r="F738" s="7">
        <f>IF(A738="","",IF(E738="並","-",HLOOKUP(E738,単価表!$B$1:$D$2,2,FALSE)*B738))</f>
        <v>2438.4</v>
      </c>
      <c r="G738" s="7">
        <f t="shared" si="23"/>
        <v>2450</v>
      </c>
    </row>
    <row r="739" spans="1:7">
      <c r="A739">
        <v>738</v>
      </c>
      <c r="B739">
        <v>0.65400000000000003</v>
      </c>
      <c r="C739" t="s">
        <v>3</v>
      </c>
      <c r="D739" t="s">
        <v>3</v>
      </c>
      <c r="E739" t="str">
        <f t="shared" si="22"/>
        <v>良</v>
      </c>
      <c r="F739" s="7">
        <f>IF(A739="","",IF(E739="並","-",HLOOKUP(E739,単価表!$B$1:$D$2,2,FALSE)*B739))</f>
        <v>784.80000000000007</v>
      </c>
      <c r="G739" s="7">
        <f t="shared" si="23"/>
        <v>800</v>
      </c>
    </row>
    <row r="740" spans="1:7">
      <c r="A740">
        <v>739</v>
      </c>
      <c r="B740">
        <v>0.58599999999999997</v>
      </c>
      <c r="C740" t="s">
        <v>3</v>
      </c>
      <c r="D740" t="s">
        <v>5</v>
      </c>
      <c r="E740" t="str">
        <f t="shared" si="22"/>
        <v>並</v>
      </c>
      <c r="F740" s="7" t="str">
        <f>IF(A740="","",IF(E740="並","-",HLOOKUP(E740,単価表!$B$1:$D$2,2,FALSE)*B740))</f>
        <v>-</v>
      </c>
      <c r="G740" s="7" t="str">
        <f t="shared" si="23"/>
        <v>-</v>
      </c>
    </row>
    <row r="741" spans="1:7">
      <c r="A741">
        <v>740</v>
      </c>
      <c r="B741">
        <v>0.91800000000000004</v>
      </c>
      <c r="C741" t="s">
        <v>5</v>
      </c>
      <c r="D741" t="s">
        <v>5</v>
      </c>
      <c r="E741" t="str">
        <f t="shared" si="22"/>
        <v>並</v>
      </c>
      <c r="F741" s="7" t="str">
        <f>IF(A741="","",IF(E741="並","-",HLOOKUP(E741,単価表!$B$1:$D$2,2,FALSE)*B741))</f>
        <v>-</v>
      </c>
      <c r="G741" s="7" t="str">
        <f t="shared" si="23"/>
        <v>-</v>
      </c>
    </row>
    <row r="742" spans="1:7">
      <c r="A742">
        <v>741</v>
      </c>
      <c r="B742">
        <v>1.79</v>
      </c>
      <c r="C742" t="s">
        <v>5</v>
      </c>
      <c r="D742" t="s">
        <v>1</v>
      </c>
      <c r="E742" t="str">
        <f t="shared" si="22"/>
        <v>並</v>
      </c>
      <c r="F742" s="7" t="str">
        <f>IF(A742="","",IF(E742="並","-",HLOOKUP(E742,単価表!$B$1:$D$2,2,FALSE)*B742))</f>
        <v>-</v>
      </c>
      <c r="G742" s="7" t="str">
        <f t="shared" si="23"/>
        <v>-</v>
      </c>
    </row>
    <row r="743" spans="1:7">
      <c r="A743">
        <v>742</v>
      </c>
      <c r="B743">
        <v>2.0859999999999999</v>
      </c>
      <c r="C743" t="s">
        <v>1</v>
      </c>
      <c r="D743" t="s">
        <v>3</v>
      </c>
      <c r="E743" t="str">
        <f t="shared" si="22"/>
        <v>良</v>
      </c>
      <c r="F743" s="7">
        <f>IF(A743="","",IF(E743="並","-",HLOOKUP(E743,単価表!$B$1:$D$2,2,FALSE)*B743))</f>
        <v>2503.1999999999998</v>
      </c>
      <c r="G743" s="7">
        <f t="shared" si="23"/>
        <v>2550</v>
      </c>
    </row>
    <row r="744" spans="1:7">
      <c r="A744">
        <v>743</v>
      </c>
      <c r="B744">
        <v>1.9139999999999999</v>
      </c>
      <c r="C744" t="s">
        <v>1</v>
      </c>
      <c r="D744" t="s">
        <v>1</v>
      </c>
      <c r="E744" t="str">
        <f t="shared" si="22"/>
        <v>優</v>
      </c>
      <c r="F744" s="7">
        <f>IF(A744="","",IF(E744="並","-",HLOOKUP(E744,単価表!$B$1:$D$2,2,FALSE)*B744))</f>
        <v>2871</v>
      </c>
      <c r="G744" s="7">
        <f t="shared" si="23"/>
        <v>2900</v>
      </c>
    </row>
    <row r="745" spans="1:7">
      <c r="A745">
        <v>744</v>
      </c>
      <c r="B745">
        <v>0.67900000000000005</v>
      </c>
      <c r="C745" t="s">
        <v>3</v>
      </c>
      <c r="D745" t="s">
        <v>3</v>
      </c>
      <c r="E745" t="str">
        <f t="shared" si="22"/>
        <v>良</v>
      </c>
      <c r="F745" s="7">
        <f>IF(A745="","",IF(E745="並","-",HLOOKUP(E745,単価表!$B$1:$D$2,2,FALSE)*B745))</f>
        <v>814.80000000000007</v>
      </c>
      <c r="G745" s="7">
        <f t="shared" si="23"/>
        <v>850</v>
      </c>
    </row>
    <row r="746" spans="1:7">
      <c r="A746">
        <v>745</v>
      </c>
      <c r="B746">
        <v>1.4930000000000001</v>
      </c>
      <c r="C746" t="s">
        <v>1</v>
      </c>
      <c r="D746" t="s">
        <v>1</v>
      </c>
      <c r="E746" t="str">
        <f t="shared" si="22"/>
        <v>優</v>
      </c>
      <c r="F746" s="7">
        <f>IF(A746="","",IF(E746="並","-",HLOOKUP(E746,単価表!$B$1:$D$2,2,FALSE)*B746))</f>
        <v>2239.5</v>
      </c>
      <c r="G746" s="7">
        <f t="shared" si="23"/>
        <v>2250</v>
      </c>
    </row>
    <row r="747" spans="1:7">
      <c r="A747">
        <v>746</v>
      </c>
      <c r="B747">
        <v>2.4430000000000001</v>
      </c>
      <c r="C747" t="s">
        <v>1</v>
      </c>
      <c r="D747" t="s">
        <v>3</v>
      </c>
      <c r="E747" t="str">
        <f t="shared" si="22"/>
        <v>良</v>
      </c>
      <c r="F747" s="7">
        <f>IF(A747="","",IF(E747="並","-",HLOOKUP(E747,単価表!$B$1:$D$2,2,FALSE)*B747))</f>
        <v>2931.6</v>
      </c>
      <c r="G747" s="7">
        <f t="shared" si="23"/>
        <v>2950</v>
      </c>
    </row>
    <row r="748" spans="1:7">
      <c r="A748">
        <v>747</v>
      </c>
      <c r="B748">
        <v>0.628</v>
      </c>
      <c r="C748" t="s">
        <v>5</v>
      </c>
      <c r="D748" t="s">
        <v>1</v>
      </c>
      <c r="E748" t="str">
        <f t="shared" si="22"/>
        <v>並</v>
      </c>
      <c r="F748" s="7" t="str">
        <f>IF(A748="","",IF(E748="並","-",HLOOKUP(E748,単価表!$B$1:$D$2,2,FALSE)*B748))</f>
        <v>-</v>
      </c>
      <c r="G748" s="7" t="str">
        <f t="shared" si="23"/>
        <v>-</v>
      </c>
    </row>
    <row r="749" spans="1:7">
      <c r="A749">
        <v>748</v>
      </c>
      <c r="B749">
        <v>2.089</v>
      </c>
      <c r="C749" t="s">
        <v>1</v>
      </c>
      <c r="D749" t="s">
        <v>3</v>
      </c>
      <c r="E749" t="str">
        <f t="shared" si="22"/>
        <v>良</v>
      </c>
      <c r="F749" s="7">
        <f>IF(A749="","",IF(E749="並","-",HLOOKUP(E749,単価表!$B$1:$D$2,2,FALSE)*B749))</f>
        <v>2506.8000000000002</v>
      </c>
      <c r="G749" s="7">
        <f t="shared" si="23"/>
        <v>2550</v>
      </c>
    </row>
    <row r="750" spans="1:7">
      <c r="A750">
        <v>749</v>
      </c>
      <c r="B750">
        <v>2.0299999999999998</v>
      </c>
      <c r="C750" t="s">
        <v>3</v>
      </c>
      <c r="D750" t="s">
        <v>5</v>
      </c>
      <c r="E750" t="str">
        <f t="shared" si="22"/>
        <v>並</v>
      </c>
      <c r="F750" s="7" t="str">
        <f>IF(A750="","",IF(E750="並","-",HLOOKUP(E750,単価表!$B$1:$D$2,2,FALSE)*B750))</f>
        <v>-</v>
      </c>
      <c r="G750" s="7" t="str">
        <f t="shared" si="23"/>
        <v>-</v>
      </c>
    </row>
    <row r="751" spans="1:7">
      <c r="A751">
        <v>750</v>
      </c>
      <c r="B751">
        <v>0.98499999999999999</v>
      </c>
      <c r="C751" t="s">
        <v>1</v>
      </c>
      <c r="D751" t="s">
        <v>5</v>
      </c>
      <c r="E751" t="str">
        <f t="shared" si="22"/>
        <v>並</v>
      </c>
      <c r="F751" s="7" t="str">
        <f>IF(A751="","",IF(E751="並","-",HLOOKUP(E751,単価表!$B$1:$D$2,2,FALSE)*B751))</f>
        <v>-</v>
      </c>
      <c r="G751" s="7" t="str">
        <f t="shared" si="23"/>
        <v>-</v>
      </c>
    </row>
    <row r="752" spans="1:7">
      <c r="A752">
        <v>751</v>
      </c>
      <c r="B752">
        <v>2.2240000000000002</v>
      </c>
      <c r="C752" t="s">
        <v>5</v>
      </c>
      <c r="D752" t="s">
        <v>5</v>
      </c>
      <c r="E752" t="str">
        <f t="shared" si="22"/>
        <v>並</v>
      </c>
      <c r="F752" s="7" t="str">
        <f>IF(A752="","",IF(E752="並","-",HLOOKUP(E752,単価表!$B$1:$D$2,2,FALSE)*B752))</f>
        <v>-</v>
      </c>
      <c r="G752" s="7" t="str">
        <f t="shared" si="23"/>
        <v>-</v>
      </c>
    </row>
    <row r="753" spans="1:7">
      <c r="A753">
        <v>752</v>
      </c>
      <c r="B753">
        <v>2.8359999999999999</v>
      </c>
      <c r="C753" t="s">
        <v>1</v>
      </c>
      <c r="D753" t="s">
        <v>1</v>
      </c>
      <c r="E753" t="str">
        <f t="shared" si="22"/>
        <v>優</v>
      </c>
      <c r="F753" s="7">
        <f>IF(A753="","",IF(E753="並","-",HLOOKUP(E753,単価表!$B$1:$D$2,2,FALSE)*B753))</f>
        <v>4254</v>
      </c>
      <c r="G753" s="7">
        <f t="shared" si="23"/>
        <v>4300</v>
      </c>
    </row>
    <row r="754" spans="1:7">
      <c r="A754">
        <v>753</v>
      </c>
      <c r="B754">
        <v>0.89100000000000001</v>
      </c>
      <c r="C754" t="s">
        <v>3</v>
      </c>
      <c r="D754" t="s">
        <v>1</v>
      </c>
      <c r="E754" t="str">
        <f t="shared" si="22"/>
        <v>良</v>
      </c>
      <c r="F754" s="7">
        <f>IF(A754="","",IF(E754="並","-",HLOOKUP(E754,単価表!$B$1:$D$2,2,FALSE)*B754))</f>
        <v>1069.2</v>
      </c>
      <c r="G754" s="7">
        <f t="shared" si="23"/>
        <v>1100</v>
      </c>
    </row>
    <row r="755" spans="1:7">
      <c r="A755">
        <v>754</v>
      </c>
      <c r="B755">
        <v>2.3119999999999998</v>
      </c>
      <c r="C755" t="s">
        <v>1</v>
      </c>
      <c r="D755" t="s">
        <v>3</v>
      </c>
      <c r="E755" t="str">
        <f t="shared" si="22"/>
        <v>良</v>
      </c>
      <c r="F755" s="7">
        <f>IF(A755="","",IF(E755="並","-",HLOOKUP(E755,単価表!$B$1:$D$2,2,FALSE)*B755))</f>
        <v>2774.3999999999996</v>
      </c>
      <c r="G755" s="7">
        <f t="shared" si="23"/>
        <v>2800</v>
      </c>
    </row>
    <row r="756" spans="1:7">
      <c r="A756">
        <v>755</v>
      </c>
      <c r="B756">
        <v>0.70499999999999996</v>
      </c>
      <c r="C756" t="s">
        <v>3</v>
      </c>
      <c r="D756" t="s">
        <v>5</v>
      </c>
      <c r="E756" t="str">
        <f t="shared" si="22"/>
        <v>並</v>
      </c>
      <c r="F756" s="7" t="str">
        <f>IF(A756="","",IF(E756="並","-",HLOOKUP(E756,単価表!$B$1:$D$2,2,FALSE)*B756))</f>
        <v>-</v>
      </c>
      <c r="G756" s="7" t="str">
        <f t="shared" si="23"/>
        <v>-</v>
      </c>
    </row>
    <row r="757" spans="1:7">
      <c r="A757">
        <v>756</v>
      </c>
      <c r="B757">
        <v>0.50600000000000001</v>
      </c>
      <c r="C757" t="s">
        <v>3</v>
      </c>
      <c r="D757" t="s">
        <v>3</v>
      </c>
      <c r="E757" t="str">
        <f t="shared" si="22"/>
        <v>良</v>
      </c>
      <c r="F757" s="7">
        <f>IF(A757="","",IF(E757="並","-",HLOOKUP(E757,単価表!$B$1:$D$2,2,FALSE)*B757))</f>
        <v>607.20000000000005</v>
      </c>
      <c r="G757" s="7">
        <f t="shared" si="23"/>
        <v>650</v>
      </c>
    </row>
    <row r="758" spans="1:7">
      <c r="A758">
        <v>757</v>
      </c>
      <c r="B758">
        <v>1.8460000000000001</v>
      </c>
      <c r="C758" t="s">
        <v>1</v>
      </c>
      <c r="D758" t="s">
        <v>3</v>
      </c>
      <c r="E758" t="str">
        <f t="shared" si="22"/>
        <v>良</v>
      </c>
      <c r="F758" s="7">
        <f>IF(A758="","",IF(E758="並","-",HLOOKUP(E758,単価表!$B$1:$D$2,2,FALSE)*B758))</f>
        <v>2215.2000000000003</v>
      </c>
      <c r="G758" s="7">
        <f t="shared" si="23"/>
        <v>2250</v>
      </c>
    </row>
    <row r="759" spans="1:7">
      <c r="A759">
        <v>758</v>
      </c>
      <c r="B759">
        <v>1.2989999999999999</v>
      </c>
      <c r="C759" t="s">
        <v>5</v>
      </c>
      <c r="D759" t="s">
        <v>5</v>
      </c>
      <c r="E759" t="str">
        <f t="shared" si="22"/>
        <v>並</v>
      </c>
      <c r="F759" s="7" t="str">
        <f>IF(A759="","",IF(E759="並","-",HLOOKUP(E759,単価表!$B$1:$D$2,2,FALSE)*B759))</f>
        <v>-</v>
      </c>
      <c r="G759" s="7" t="str">
        <f t="shared" si="23"/>
        <v>-</v>
      </c>
    </row>
    <row r="760" spans="1:7">
      <c r="A760">
        <v>759</v>
      </c>
      <c r="B760">
        <v>2.6930000000000001</v>
      </c>
      <c r="C760" t="s">
        <v>3</v>
      </c>
      <c r="D760" t="s">
        <v>1</v>
      </c>
      <c r="E760" t="str">
        <f t="shared" si="22"/>
        <v>良</v>
      </c>
      <c r="F760" s="7">
        <f>IF(A760="","",IF(E760="並","-",HLOOKUP(E760,単価表!$B$1:$D$2,2,FALSE)*B760))</f>
        <v>3231.6</v>
      </c>
      <c r="G760" s="7">
        <f t="shared" si="23"/>
        <v>3250</v>
      </c>
    </row>
    <row r="761" spans="1:7">
      <c r="A761">
        <v>760</v>
      </c>
      <c r="B761">
        <v>2.0449999999999999</v>
      </c>
      <c r="C761" t="s">
        <v>3</v>
      </c>
      <c r="D761" t="s">
        <v>3</v>
      </c>
      <c r="E761" t="str">
        <f t="shared" si="22"/>
        <v>良</v>
      </c>
      <c r="F761" s="7">
        <f>IF(A761="","",IF(E761="並","-",HLOOKUP(E761,単価表!$B$1:$D$2,2,FALSE)*B761))</f>
        <v>2454</v>
      </c>
      <c r="G761" s="7">
        <f t="shared" si="23"/>
        <v>2500</v>
      </c>
    </row>
    <row r="762" spans="1:7">
      <c r="A762">
        <v>761</v>
      </c>
      <c r="B762">
        <v>2.718</v>
      </c>
      <c r="C762" t="s">
        <v>1</v>
      </c>
      <c r="D762" t="s">
        <v>1</v>
      </c>
      <c r="E762" t="str">
        <f t="shared" si="22"/>
        <v>優</v>
      </c>
      <c r="F762" s="7">
        <f>IF(A762="","",IF(E762="並","-",HLOOKUP(E762,単価表!$B$1:$D$2,2,FALSE)*B762))</f>
        <v>4077</v>
      </c>
      <c r="G762" s="7">
        <f t="shared" si="23"/>
        <v>4100</v>
      </c>
    </row>
    <row r="763" spans="1:7">
      <c r="A763">
        <v>762</v>
      </c>
      <c r="B763">
        <v>1.5089999999999999</v>
      </c>
      <c r="C763" t="s">
        <v>1</v>
      </c>
      <c r="D763" t="s">
        <v>5</v>
      </c>
      <c r="E763" t="str">
        <f t="shared" si="22"/>
        <v>並</v>
      </c>
      <c r="F763" s="7" t="str">
        <f>IF(A763="","",IF(E763="並","-",HLOOKUP(E763,単価表!$B$1:$D$2,2,FALSE)*B763))</f>
        <v>-</v>
      </c>
      <c r="G763" s="7" t="str">
        <f t="shared" si="23"/>
        <v>-</v>
      </c>
    </row>
    <row r="764" spans="1:7">
      <c r="A764">
        <v>763</v>
      </c>
      <c r="B764">
        <v>1.8109999999999999</v>
      </c>
      <c r="C764" t="s">
        <v>5</v>
      </c>
      <c r="D764" t="s">
        <v>3</v>
      </c>
      <c r="E764" t="str">
        <f t="shared" si="22"/>
        <v>並</v>
      </c>
      <c r="F764" s="7" t="str">
        <f>IF(A764="","",IF(E764="並","-",HLOOKUP(E764,単価表!$B$1:$D$2,2,FALSE)*B764))</f>
        <v>-</v>
      </c>
      <c r="G764" s="7" t="str">
        <f t="shared" si="23"/>
        <v>-</v>
      </c>
    </row>
    <row r="765" spans="1:7">
      <c r="A765">
        <v>764</v>
      </c>
      <c r="B765">
        <v>0.57299999999999995</v>
      </c>
      <c r="C765" t="s">
        <v>1</v>
      </c>
      <c r="D765" t="s">
        <v>3</v>
      </c>
      <c r="E765" t="str">
        <f t="shared" si="22"/>
        <v>良</v>
      </c>
      <c r="F765" s="7">
        <f>IF(A765="","",IF(E765="並","-",HLOOKUP(E765,単価表!$B$1:$D$2,2,FALSE)*B765))</f>
        <v>687.59999999999991</v>
      </c>
      <c r="G765" s="7">
        <f t="shared" si="23"/>
        <v>700</v>
      </c>
    </row>
    <row r="766" spans="1:7">
      <c r="A766">
        <v>765</v>
      </c>
      <c r="B766">
        <v>1.456</v>
      </c>
      <c r="C766" t="s">
        <v>1</v>
      </c>
      <c r="D766" t="s">
        <v>5</v>
      </c>
      <c r="E766" t="str">
        <f t="shared" si="22"/>
        <v>並</v>
      </c>
      <c r="F766" s="7" t="str">
        <f>IF(A766="","",IF(E766="並","-",HLOOKUP(E766,単価表!$B$1:$D$2,2,FALSE)*B766))</f>
        <v>-</v>
      </c>
      <c r="G766" s="7" t="str">
        <f t="shared" si="23"/>
        <v>-</v>
      </c>
    </row>
    <row r="767" spans="1:7">
      <c r="A767">
        <v>766</v>
      </c>
      <c r="B767">
        <v>2.1030000000000002</v>
      </c>
      <c r="C767" t="s">
        <v>3</v>
      </c>
      <c r="D767" t="s">
        <v>1</v>
      </c>
      <c r="E767" t="str">
        <f t="shared" si="22"/>
        <v>良</v>
      </c>
      <c r="F767" s="7">
        <f>IF(A767="","",IF(E767="並","-",HLOOKUP(E767,単価表!$B$1:$D$2,2,FALSE)*B767))</f>
        <v>2523.6000000000004</v>
      </c>
      <c r="G767" s="7">
        <f t="shared" si="23"/>
        <v>2550</v>
      </c>
    </row>
    <row r="768" spans="1:7">
      <c r="A768">
        <v>767</v>
      </c>
      <c r="B768">
        <v>2.68</v>
      </c>
      <c r="C768" t="s">
        <v>3</v>
      </c>
      <c r="D768" t="s">
        <v>1</v>
      </c>
      <c r="E768" t="str">
        <f t="shared" si="22"/>
        <v>良</v>
      </c>
      <c r="F768" s="7">
        <f>IF(A768="","",IF(E768="並","-",HLOOKUP(E768,単価表!$B$1:$D$2,2,FALSE)*B768))</f>
        <v>3216</v>
      </c>
      <c r="G768" s="7">
        <f t="shared" si="23"/>
        <v>3250</v>
      </c>
    </row>
    <row r="769" spans="1:7">
      <c r="A769">
        <v>768</v>
      </c>
      <c r="B769">
        <v>0.73099999999999998</v>
      </c>
      <c r="C769" t="s">
        <v>5</v>
      </c>
      <c r="D769" t="s">
        <v>5</v>
      </c>
      <c r="E769" t="str">
        <f t="shared" si="22"/>
        <v>並</v>
      </c>
      <c r="F769" s="7" t="str">
        <f>IF(A769="","",IF(E769="並","-",HLOOKUP(E769,単価表!$B$1:$D$2,2,FALSE)*B769))</f>
        <v>-</v>
      </c>
      <c r="G769" s="7" t="str">
        <f t="shared" si="23"/>
        <v>-</v>
      </c>
    </row>
    <row r="770" spans="1:7">
      <c r="A770">
        <v>769</v>
      </c>
      <c r="B770">
        <v>2.1920000000000002</v>
      </c>
      <c r="C770" t="s">
        <v>3</v>
      </c>
      <c r="D770" t="s">
        <v>1</v>
      </c>
      <c r="E770" t="str">
        <f t="shared" si="22"/>
        <v>良</v>
      </c>
      <c r="F770" s="7">
        <f>IF(A770="","",IF(E770="並","-",HLOOKUP(E770,単価表!$B$1:$D$2,2,FALSE)*B770))</f>
        <v>2630.4</v>
      </c>
      <c r="G770" s="7">
        <f t="shared" si="23"/>
        <v>2650</v>
      </c>
    </row>
    <row r="771" spans="1:7">
      <c r="A771">
        <v>770</v>
      </c>
      <c r="B771">
        <v>2.875</v>
      </c>
      <c r="C771" t="s">
        <v>3</v>
      </c>
      <c r="D771" t="s">
        <v>5</v>
      </c>
      <c r="E771" t="str">
        <f t="shared" ref="E771:E834" si="24">IF(A771="","",IF(OR(C771="並",D771="並"),"並",IF(OR(C771="良",D771="良"),"良","優")))</f>
        <v>並</v>
      </c>
      <c r="F771" s="7" t="str">
        <f>IF(A771="","",IF(E771="並","-",HLOOKUP(E771,単価表!$B$1:$D$2,2,FALSE)*B771))</f>
        <v>-</v>
      </c>
      <c r="G771" s="7" t="str">
        <f t="shared" si="23"/>
        <v>-</v>
      </c>
    </row>
    <row r="772" spans="1:7">
      <c r="A772">
        <v>771</v>
      </c>
      <c r="B772">
        <v>1.8979999999999999</v>
      </c>
      <c r="C772" t="s">
        <v>5</v>
      </c>
      <c r="D772" t="s">
        <v>3</v>
      </c>
      <c r="E772" t="str">
        <f t="shared" si="24"/>
        <v>並</v>
      </c>
      <c r="F772" s="7" t="str">
        <f>IF(A772="","",IF(E772="並","-",HLOOKUP(E772,単価表!$B$1:$D$2,2,FALSE)*B772))</f>
        <v>-</v>
      </c>
      <c r="G772" s="7" t="str">
        <f t="shared" ref="G772:G835" si="25">IF(A772="","",IF(E772="並","-",ROUNDUP(F772/50,0)*50))</f>
        <v>-</v>
      </c>
    </row>
    <row r="773" spans="1:7">
      <c r="A773">
        <v>772</v>
      </c>
      <c r="B773">
        <v>1.1419999999999999</v>
      </c>
      <c r="C773" t="s">
        <v>5</v>
      </c>
      <c r="D773" t="s">
        <v>5</v>
      </c>
      <c r="E773" t="str">
        <f t="shared" si="24"/>
        <v>並</v>
      </c>
      <c r="F773" s="7" t="str">
        <f>IF(A773="","",IF(E773="並","-",HLOOKUP(E773,単価表!$B$1:$D$2,2,FALSE)*B773))</f>
        <v>-</v>
      </c>
      <c r="G773" s="7" t="str">
        <f t="shared" si="25"/>
        <v>-</v>
      </c>
    </row>
    <row r="774" spans="1:7">
      <c r="A774">
        <v>773</v>
      </c>
      <c r="B774">
        <v>1.048</v>
      </c>
      <c r="C774" t="s">
        <v>5</v>
      </c>
      <c r="D774" t="s">
        <v>1</v>
      </c>
      <c r="E774" t="str">
        <f t="shared" si="24"/>
        <v>並</v>
      </c>
      <c r="F774" s="7" t="str">
        <f>IF(A774="","",IF(E774="並","-",HLOOKUP(E774,単価表!$B$1:$D$2,2,FALSE)*B774))</f>
        <v>-</v>
      </c>
      <c r="G774" s="7" t="str">
        <f t="shared" si="25"/>
        <v>-</v>
      </c>
    </row>
    <row r="775" spans="1:7">
      <c r="A775">
        <v>774</v>
      </c>
      <c r="B775">
        <v>0.747</v>
      </c>
      <c r="C775" t="s">
        <v>5</v>
      </c>
      <c r="D775" t="s">
        <v>1</v>
      </c>
      <c r="E775" t="str">
        <f t="shared" si="24"/>
        <v>並</v>
      </c>
      <c r="F775" s="7" t="str">
        <f>IF(A775="","",IF(E775="並","-",HLOOKUP(E775,単価表!$B$1:$D$2,2,FALSE)*B775))</f>
        <v>-</v>
      </c>
      <c r="G775" s="7" t="str">
        <f t="shared" si="25"/>
        <v>-</v>
      </c>
    </row>
    <row r="776" spans="1:7">
      <c r="A776">
        <v>775</v>
      </c>
      <c r="B776">
        <v>0.63400000000000001</v>
      </c>
      <c r="C776" t="s">
        <v>5</v>
      </c>
      <c r="D776" t="s">
        <v>5</v>
      </c>
      <c r="E776" t="str">
        <f t="shared" si="24"/>
        <v>並</v>
      </c>
      <c r="F776" s="7" t="str">
        <f>IF(A776="","",IF(E776="並","-",HLOOKUP(E776,単価表!$B$1:$D$2,2,FALSE)*B776))</f>
        <v>-</v>
      </c>
      <c r="G776" s="7" t="str">
        <f t="shared" si="25"/>
        <v>-</v>
      </c>
    </row>
    <row r="777" spans="1:7">
      <c r="A777">
        <v>776</v>
      </c>
      <c r="B777">
        <v>1.544</v>
      </c>
      <c r="C777" t="s">
        <v>1</v>
      </c>
      <c r="D777" t="s">
        <v>3</v>
      </c>
      <c r="E777" t="str">
        <f t="shared" si="24"/>
        <v>良</v>
      </c>
      <c r="F777" s="7">
        <f>IF(A777="","",IF(E777="並","-",HLOOKUP(E777,単価表!$B$1:$D$2,2,FALSE)*B777))</f>
        <v>1852.8</v>
      </c>
      <c r="G777" s="7">
        <f t="shared" si="25"/>
        <v>1900</v>
      </c>
    </row>
    <row r="778" spans="1:7">
      <c r="A778">
        <v>777</v>
      </c>
      <c r="B778">
        <v>2.218</v>
      </c>
      <c r="C778" t="s">
        <v>5</v>
      </c>
      <c r="D778" t="s">
        <v>3</v>
      </c>
      <c r="E778" t="str">
        <f t="shared" si="24"/>
        <v>並</v>
      </c>
      <c r="F778" s="7" t="str">
        <f>IF(A778="","",IF(E778="並","-",HLOOKUP(E778,単価表!$B$1:$D$2,2,FALSE)*B778))</f>
        <v>-</v>
      </c>
      <c r="G778" s="7" t="str">
        <f t="shared" si="25"/>
        <v>-</v>
      </c>
    </row>
    <row r="779" spans="1:7">
      <c r="A779">
        <v>778</v>
      </c>
      <c r="B779">
        <v>2.8879999999999999</v>
      </c>
      <c r="C779" t="s">
        <v>5</v>
      </c>
      <c r="D779" t="s">
        <v>5</v>
      </c>
      <c r="E779" t="str">
        <f t="shared" si="24"/>
        <v>並</v>
      </c>
      <c r="F779" s="7" t="str">
        <f>IF(A779="","",IF(E779="並","-",HLOOKUP(E779,単価表!$B$1:$D$2,2,FALSE)*B779))</f>
        <v>-</v>
      </c>
      <c r="G779" s="7" t="str">
        <f t="shared" si="25"/>
        <v>-</v>
      </c>
    </row>
    <row r="780" spans="1:7">
      <c r="A780">
        <v>779</v>
      </c>
      <c r="B780">
        <v>2.359</v>
      </c>
      <c r="C780" t="s">
        <v>3</v>
      </c>
      <c r="D780" t="s">
        <v>3</v>
      </c>
      <c r="E780" t="str">
        <f t="shared" si="24"/>
        <v>良</v>
      </c>
      <c r="F780" s="7">
        <f>IF(A780="","",IF(E780="並","-",HLOOKUP(E780,単価表!$B$1:$D$2,2,FALSE)*B780))</f>
        <v>2830.8</v>
      </c>
      <c r="G780" s="7">
        <f t="shared" si="25"/>
        <v>2850</v>
      </c>
    </row>
    <row r="781" spans="1:7">
      <c r="A781">
        <v>780</v>
      </c>
      <c r="B781">
        <v>1.9370000000000001</v>
      </c>
      <c r="C781" t="s">
        <v>5</v>
      </c>
      <c r="D781" t="s">
        <v>3</v>
      </c>
      <c r="E781" t="str">
        <f t="shared" si="24"/>
        <v>並</v>
      </c>
      <c r="F781" s="7" t="str">
        <f>IF(A781="","",IF(E781="並","-",HLOOKUP(E781,単価表!$B$1:$D$2,2,FALSE)*B781))</f>
        <v>-</v>
      </c>
      <c r="G781" s="7" t="str">
        <f t="shared" si="25"/>
        <v>-</v>
      </c>
    </row>
    <row r="782" spans="1:7">
      <c r="A782">
        <v>781</v>
      </c>
      <c r="B782">
        <v>0.54200000000000004</v>
      </c>
      <c r="C782" t="s">
        <v>5</v>
      </c>
      <c r="D782" t="s">
        <v>3</v>
      </c>
      <c r="E782" t="str">
        <f t="shared" si="24"/>
        <v>並</v>
      </c>
      <c r="F782" s="7" t="str">
        <f>IF(A782="","",IF(E782="並","-",HLOOKUP(E782,単価表!$B$1:$D$2,2,FALSE)*B782))</f>
        <v>-</v>
      </c>
      <c r="G782" s="7" t="str">
        <f t="shared" si="25"/>
        <v>-</v>
      </c>
    </row>
    <row r="783" spans="1:7">
      <c r="A783">
        <v>782</v>
      </c>
      <c r="B783">
        <v>2.266</v>
      </c>
      <c r="C783" t="s">
        <v>5</v>
      </c>
      <c r="D783" t="s">
        <v>5</v>
      </c>
      <c r="E783" t="str">
        <f t="shared" si="24"/>
        <v>並</v>
      </c>
      <c r="F783" s="7" t="str">
        <f>IF(A783="","",IF(E783="並","-",HLOOKUP(E783,単価表!$B$1:$D$2,2,FALSE)*B783))</f>
        <v>-</v>
      </c>
      <c r="G783" s="7" t="str">
        <f t="shared" si="25"/>
        <v>-</v>
      </c>
    </row>
    <row r="784" spans="1:7">
      <c r="A784">
        <v>783</v>
      </c>
      <c r="B784">
        <v>1.7569999999999999</v>
      </c>
      <c r="C784" t="s">
        <v>1</v>
      </c>
      <c r="D784" t="s">
        <v>1</v>
      </c>
      <c r="E784" t="str">
        <f t="shared" si="24"/>
        <v>優</v>
      </c>
      <c r="F784" s="7">
        <f>IF(A784="","",IF(E784="並","-",HLOOKUP(E784,単価表!$B$1:$D$2,2,FALSE)*B784))</f>
        <v>2635.5</v>
      </c>
      <c r="G784" s="7">
        <f t="shared" si="25"/>
        <v>2650</v>
      </c>
    </row>
    <row r="785" spans="1:7">
      <c r="A785">
        <v>784</v>
      </c>
      <c r="B785">
        <v>1.875</v>
      </c>
      <c r="C785" t="s">
        <v>3</v>
      </c>
      <c r="D785" t="s">
        <v>3</v>
      </c>
      <c r="E785" t="str">
        <f t="shared" si="24"/>
        <v>良</v>
      </c>
      <c r="F785" s="7">
        <f>IF(A785="","",IF(E785="並","-",HLOOKUP(E785,単価表!$B$1:$D$2,2,FALSE)*B785))</f>
        <v>2250</v>
      </c>
      <c r="G785" s="7">
        <f t="shared" si="25"/>
        <v>2250</v>
      </c>
    </row>
    <row r="786" spans="1:7">
      <c r="A786">
        <v>785</v>
      </c>
      <c r="B786">
        <v>2.7519999999999998</v>
      </c>
      <c r="C786" t="s">
        <v>1</v>
      </c>
      <c r="D786" t="s">
        <v>1</v>
      </c>
      <c r="E786" t="str">
        <f t="shared" si="24"/>
        <v>優</v>
      </c>
      <c r="F786" s="7">
        <f>IF(A786="","",IF(E786="並","-",HLOOKUP(E786,単価表!$B$1:$D$2,2,FALSE)*B786))</f>
        <v>4128</v>
      </c>
      <c r="G786" s="7">
        <f t="shared" si="25"/>
        <v>4150</v>
      </c>
    </row>
    <row r="787" spans="1:7">
      <c r="A787">
        <v>786</v>
      </c>
      <c r="B787">
        <v>2.347</v>
      </c>
      <c r="C787" t="s">
        <v>5</v>
      </c>
      <c r="D787" t="s">
        <v>3</v>
      </c>
      <c r="E787" t="str">
        <f t="shared" si="24"/>
        <v>並</v>
      </c>
      <c r="F787" s="7" t="str">
        <f>IF(A787="","",IF(E787="並","-",HLOOKUP(E787,単価表!$B$1:$D$2,2,FALSE)*B787))</f>
        <v>-</v>
      </c>
      <c r="G787" s="7" t="str">
        <f t="shared" si="25"/>
        <v>-</v>
      </c>
    </row>
    <row r="788" spans="1:7">
      <c r="A788">
        <v>787</v>
      </c>
      <c r="B788">
        <v>0.67100000000000004</v>
      </c>
      <c r="C788" t="s">
        <v>3</v>
      </c>
      <c r="D788" t="s">
        <v>1</v>
      </c>
      <c r="E788" t="str">
        <f t="shared" si="24"/>
        <v>良</v>
      </c>
      <c r="F788" s="7">
        <f>IF(A788="","",IF(E788="並","-",HLOOKUP(E788,単価表!$B$1:$D$2,2,FALSE)*B788))</f>
        <v>805.2</v>
      </c>
      <c r="G788" s="7">
        <f t="shared" si="25"/>
        <v>850</v>
      </c>
    </row>
    <row r="789" spans="1:7">
      <c r="A789">
        <v>788</v>
      </c>
      <c r="B789">
        <v>1.8819999999999999</v>
      </c>
      <c r="C789" t="s">
        <v>1</v>
      </c>
      <c r="D789" t="s">
        <v>1</v>
      </c>
      <c r="E789" t="str">
        <f t="shared" si="24"/>
        <v>優</v>
      </c>
      <c r="F789" s="7">
        <f>IF(A789="","",IF(E789="並","-",HLOOKUP(E789,単価表!$B$1:$D$2,2,FALSE)*B789))</f>
        <v>2823</v>
      </c>
      <c r="G789" s="7">
        <f t="shared" si="25"/>
        <v>2850</v>
      </c>
    </row>
    <row r="790" spans="1:7">
      <c r="A790">
        <v>789</v>
      </c>
      <c r="B790">
        <v>1.2470000000000001</v>
      </c>
      <c r="C790" t="s">
        <v>3</v>
      </c>
      <c r="D790" t="s">
        <v>1</v>
      </c>
      <c r="E790" t="str">
        <f t="shared" si="24"/>
        <v>良</v>
      </c>
      <c r="F790" s="7">
        <f>IF(A790="","",IF(E790="並","-",HLOOKUP(E790,単価表!$B$1:$D$2,2,FALSE)*B790))</f>
        <v>1496.4</v>
      </c>
      <c r="G790" s="7">
        <f t="shared" si="25"/>
        <v>1500</v>
      </c>
    </row>
    <row r="791" spans="1:7">
      <c r="A791">
        <v>790</v>
      </c>
      <c r="B791">
        <v>0.79800000000000004</v>
      </c>
      <c r="C791" t="s">
        <v>5</v>
      </c>
      <c r="D791" t="s">
        <v>1</v>
      </c>
      <c r="E791" t="str">
        <f t="shared" si="24"/>
        <v>並</v>
      </c>
      <c r="F791" s="7" t="str">
        <f>IF(A791="","",IF(E791="並","-",HLOOKUP(E791,単価表!$B$1:$D$2,2,FALSE)*B791))</f>
        <v>-</v>
      </c>
      <c r="G791" s="7" t="str">
        <f t="shared" si="25"/>
        <v>-</v>
      </c>
    </row>
    <row r="792" spans="1:7">
      <c r="A792">
        <v>791</v>
      </c>
      <c r="B792">
        <v>2.1040000000000001</v>
      </c>
      <c r="C792" t="s">
        <v>3</v>
      </c>
      <c r="D792" t="s">
        <v>5</v>
      </c>
      <c r="E792" t="str">
        <f t="shared" si="24"/>
        <v>並</v>
      </c>
      <c r="F792" s="7" t="str">
        <f>IF(A792="","",IF(E792="並","-",HLOOKUP(E792,単価表!$B$1:$D$2,2,FALSE)*B792))</f>
        <v>-</v>
      </c>
      <c r="G792" s="7" t="str">
        <f t="shared" si="25"/>
        <v>-</v>
      </c>
    </row>
    <row r="793" spans="1:7">
      <c r="A793">
        <v>792</v>
      </c>
      <c r="B793">
        <v>1.843</v>
      </c>
      <c r="C793" t="s">
        <v>5</v>
      </c>
      <c r="D793" t="s">
        <v>1</v>
      </c>
      <c r="E793" t="str">
        <f t="shared" si="24"/>
        <v>並</v>
      </c>
      <c r="F793" s="7" t="str">
        <f>IF(A793="","",IF(E793="並","-",HLOOKUP(E793,単価表!$B$1:$D$2,2,FALSE)*B793))</f>
        <v>-</v>
      </c>
      <c r="G793" s="7" t="str">
        <f t="shared" si="25"/>
        <v>-</v>
      </c>
    </row>
    <row r="794" spans="1:7">
      <c r="A794">
        <v>793</v>
      </c>
      <c r="B794">
        <v>1.919</v>
      </c>
      <c r="C794" t="s">
        <v>3</v>
      </c>
      <c r="D794" t="s">
        <v>1</v>
      </c>
      <c r="E794" t="str">
        <f t="shared" si="24"/>
        <v>良</v>
      </c>
      <c r="F794" s="7">
        <f>IF(A794="","",IF(E794="並","-",HLOOKUP(E794,単価表!$B$1:$D$2,2,FALSE)*B794))</f>
        <v>2302.8000000000002</v>
      </c>
      <c r="G794" s="7">
        <f t="shared" si="25"/>
        <v>2350</v>
      </c>
    </row>
    <row r="795" spans="1:7">
      <c r="A795">
        <v>794</v>
      </c>
      <c r="B795">
        <v>2.1070000000000002</v>
      </c>
      <c r="C795" t="s">
        <v>5</v>
      </c>
      <c r="D795" t="s">
        <v>3</v>
      </c>
      <c r="E795" t="str">
        <f t="shared" si="24"/>
        <v>並</v>
      </c>
      <c r="F795" s="7" t="str">
        <f>IF(A795="","",IF(E795="並","-",HLOOKUP(E795,単価表!$B$1:$D$2,2,FALSE)*B795))</f>
        <v>-</v>
      </c>
      <c r="G795" s="7" t="str">
        <f t="shared" si="25"/>
        <v>-</v>
      </c>
    </row>
    <row r="796" spans="1:7">
      <c r="A796">
        <v>795</v>
      </c>
      <c r="B796">
        <v>1.397</v>
      </c>
      <c r="C796" t="s">
        <v>5</v>
      </c>
      <c r="D796" t="s">
        <v>5</v>
      </c>
      <c r="E796" t="str">
        <f t="shared" si="24"/>
        <v>並</v>
      </c>
      <c r="F796" s="7" t="str">
        <f>IF(A796="","",IF(E796="並","-",HLOOKUP(E796,単価表!$B$1:$D$2,2,FALSE)*B796))</f>
        <v>-</v>
      </c>
      <c r="G796" s="7" t="str">
        <f t="shared" si="25"/>
        <v>-</v>
      </c>
    </row>
    <row r="797" spans="1:7">
      <c r="A797">
        <v>796</v>
      </c>
      <c r="B797">
        <v>1.7569999999999999</v>
      </c>
      <c r="C797" t="s">
        <v>1</v>
      </c>
      <c r="D797" t="s">
        <v>3</v>
      </c>
      <c r="E797" t="str">
        <f t="shared" si="24"/>
        <v>良</v>
      </c>
      <c r="F797" s="7">
        <f>IF(A797="","",IF(E797="並","-",HLOOKUP(E797,単価表!$B$1:$D$2,2,FALSE)*B797))</f>
        <v>2108.4</v>
      </c>
      <c r="G797" s="7">
        <f t="shared" si="25"/>
        <v>2150</v>
      </c>
    </row>
    <row r="798" spans="1:7">
      <c r="A798">
        <v>797</v>
      </c>
      <c r="B798">
        <v>1.617</v>
      </c>
      <c r="C798" t="s">
        <v>3</v>
      </c>
      <c r="D798" t="s">
        <v>1</v>
      </c>
      <c r="E798" t="str">
        <f t="shared" si="24"/>
        <v>良</v>
      </c>
      <c r="F798" s="7">
        <f>IF(A798="","",IF(E798="並","-",HLOOKUP(E798,単価表!$B$1:$D$2,2,FALSE)*B798))</f>
        <v>1940.4</v>
      </c>
      <c r="G798" s="7">
        <f t="shared" si="25"/>
        <v>1950</v>
      </c>
    </row>
    <row r="799" spans="1:7">
      <c r="A799">
        <v>798</v>
      </c>
      <c r="B799">
        <v>1.038</v>
      </c>
      <c r="C799" t="s">
        <v>1</v>
      </c>
      <c r="D799" t="s">
        <v>3</v>
      </c>
      <c r="E799" t="str">
        <f t="shared" si="24"/>
        <v>良</v>
      </c>
      <c r="F799" s="7">
        <f>IF(A799="","",IF(E799="並","-",HLOOKUP(E799,単価表!$B$1:$D$2,2,FALSE)*B799))</f>
        <v>1245.6000000000001</v>
      </c>
      <c r="G799" s="7">
        <f t="shared" si="25"/>
        <v>1250</v>
      </c>
    </row>
    <row r="800" spans="1:7">
      <c r="A800">
        <v>799</v>
      </c>
      <c r="B800">
        <v>0.65200000000000002</v>
      </c>
      <c r="C800" t="s">
        <v>3</v>
      </c>
      <c r="D800" t="s">
        <v>3</v>
      </c>
      <c r="E800" t="str">
        <f t="shared" si="24"/>
        <v>良</v>
      </c>
      <c r="F800" s="7">
        <f>IF(A800="","",IF(E800="並","-",HLOOKUP(E800,単価表!$B$1:$D$2,2,FALSE)*B800))</f>
        <v>782.4</v>
      </c>
      <c r="G800" s="7">
        <f t="shared" si="25"/>
        <v>800</v>
      </c>
    </row>
    <row r="801" spans="1:7">
      <c r="A801">
        <v>800</v>
      </c>
      <c r="B801">
        <v>2.2719999999999998</v>
      </c>
      <c r="C801" t="s">
        <v>3</v>
      </c>
      <c r="D801" t="s">
        <v>1</v>
      </c>
      <c r="E801" t="str">
        <f t="shared" si="24"/>
        <v>良</v>
      </c>
      <c r="F801" s="7">
        <f>IF(A801="","",IF(E801="並","-",HLOOKUP(E801,単価表!$B$1:$D$2,2,FALSE)*B801))</f>
        <v>2726.3999999999996</v>
      </c>
      <c r="G801" s="7">
        <f t="shared" si="25"/>
        <v>2750</v>
      </c>
    </row>
    <row r="802" spans="1:7">
      <c r="A802">
        <v>801</v>
      </c>
      <c r="B802">
        <v>1.5469999999999999</v>
      </c>
      <c r="C802" t="s">
        <v>5</v>
      </c>
      <c r="D802" t="s">
        <v>5</v>
      </c>
      <c r="E802" t="str">
        <f t="shared" si="24"/>
        <v>並</v>
      </c>
      <c r="F802" s="7" t="str">
        <f>IF(A802="","",IF(E802="並","-",HLOOKUP(E802,単価表!$B$1:$D$2,2,FALSE)*B802))</f>
        <v>-</v>
      </c>
      <c r="G802" s="7" t="str">
        <f t="shared" si="25"/>
        <v>-</v>
      </c>
    </row>
    <row r="803" spans="1:7">
      <c r="A803">
        <v>802</v>
      </c>
      <c r="B803">
        <v>1.1779999999999999</v>
      </c>
      <c r="C803" t="s">
        <v>5</v>
      </c>
      <c r="D803" t="s">
        <v>1</v>
      </c>
      <c r="E803" t="str">
        <f t="shared" si="24"/>
        <v>並</v>
      </c>
      <c r="F803" s="7" t="str">
        <f>IF(A803="","",IF(E803="並","-",HLOOKUP(E803,単価表!$B$1:$D$2,2,FALSE)*B803))</f>
        <v>-</v>
      </c>
      <c r="G803" s="7" t="str">
        <f t="shared" si="25"/>
        <v>-</v>
      </c>
    </row>
    <row r="804" spans="1:7">
      <c r="A804">
        <v>803</v>
      </c>
      <c r="B804">
        <v>1.3380000000000001</v>
      </c>
      <c r="C804" t="s">
        <v>1</v>
      </c>
      <c r="D804" t="s">
        <v>3</v>
      </c>
      <c r="E804" t="str">
        <f t="shared" si="24"/>
        <v>良</v>
      </c>
      <c r="F804" s="7">
        <f>IF(A804="","",IF(E804="並","-",HLOOKUP(E804,単価表!$B$1:$D$2,2,FALSE)*B804))</f>
        <v>1605.6000000000001</v>
      </c>
      <c r="G804" s="7">
        <f t="shared" si="25"/>
        <v>1650</v>
      </c>
    </row>
    <row r="805" spans="1:7">
      <c r="A805">
        <v>804</v>
      </c>
      <c r="B805">
        <v>1.5580000000000001</v>
      </c>
      <c r="C805" t="s">
        <v>1</v>
      </c>
      <c r="D805" t="s">
        <v>1</v>
      </c>
      <c r="E805" t="str">
        <f t="shared" si="24"/>
        <v>優</v>
      </c>
      <c r="F805" s="7">
        <f>IF(A805="","",IF(E805="並","-",HLOOKUP(E805,単価表!$B$1:$D$2,2,FALSE)*B805))</f>
        <v>2337</v>
      </c>
      <c r="G805" s="7">
        <f t="shared" si="25"/>
        <v>2350</v>
      </c>
    </row>
    <row r="806" spans="1:7">
      <c r="A806">
        <v>805</v>
      </c>
      <c r="B806">
        <v>1.2490000000000001</v>
      </c>
      <c r="C806" t="s">
        <v>3</v>
      </c>
      <c r="D806" t="s">
        <v>5</v>
      </c>
      <c r="E806" t="str">
        <f t="shared" si="24"/>
        <v>並</v>
      </c>
      <c r="F806" s="7" t="str">
        <f>IF(A806="","",IF(E806="並","-",HLOOKUP(E806,単価表!$B$1:$D$2,2,FALSE)*B806))</f>
        <v>-</v>
      </c>
      <c r="G806" s="7" t="str">
        <f t="shared" si="25"/>
        <v>-</v>
      </c>
    </row>
    <row r="807" spans="1:7">
      <c r="A807">
        <v>806</v>
      </c>
      <c r="B807">
        <v>2.5710000000000002</v>
      </c>
      <c r="C807" t="s">
        <v>5</v>
      </c>
      <c r="D807" t="s">
        <v>5</v>
      </c>
      <c r="E807" t="str">
        <f t="shared" si="24"/>
        <v>並</v>
      </c>
      <c r="F807" s="7" t="str">
        <f>IF(A807="","",IF(E807="並","-",HLOOKUP(E807,単価表!$B$1:$D$2,2,FALSE)*B807))</f>
        <v>-</v>
      </c>
      <c r="G807" s="7" t="str">
        <f t="shared" si="25"/>
        <v>-</v>
      </c>
    </row>
    <row r="808" spans="1:7">
      <c r="A808">
        <v>807</v>
      </c>
      <c r="B808">
        <v>2.2839999999999998</v>
      </c>
      <c r="C808" t="s">
        <v>3</v>
      </c>
      <c r="D808" t="s">
        <v>5</v>
      </c>
      <c r="E808" t="str">
        <f t="shared" si="24"/>
        <v>並</v>
      </c>
      <c r="F808" s="7" t="str">
        <f>IF(A808="","",IF(E808="並","-",HLOOKUP(E808,単価表!$B$1:$D$2,2,FALSE)*B808))</f>
        <v>-</v>
      </c>
      <c r="G808" s="7" t="str">
        <f t="shared" si="25"/>
        <v>-</v>
      </c>
    </row>
    <row r="809" spans="1:7">
      <c r="A809">
        <v>808</v>
      </c>
      <c r="B809">
        <v>2.5110000000000001</v>
      </c>
      <c r="C809" t="s">
        <v>5</v>
      </c>
      <c r="D809" t="s">
        <v>3</v>
      </c>
      <c r="E809" t="str">
        <f t="shared" si="24"/>
        <v>並</v>
      </c>
      <c r="F809" s="7" t="str">
        <f>IF(A809="","",IF(E809="並","-",HLOOKUP(E809,単価表!$B$1:$D$2,2,FALSE)*B809))</f>
        <v>-</v>
      </c>
      <c r="G809" s="7" t="str">
        <f t="shared" si="25"/>
        <v>-</v>
      </c>
    </row>
    <row r="810" spans="1:7">
      <c r="A810">
        <v>809</v>
      </c>
      <c r="B810">
        <v>1.0820000000000001</v>
      </c>
      <c r="C810" t="s">
        <v>5</v>
      </c>
      <c r="D810" t="s">
        <v>3</v>
      </c>
      <c r="E810" t="str">
        <f t="shared" si="24"/>
        <v>並</v>
      </c>
      <c r="F810" s="7" t="str">
        <f>IF(A810="","",IF(E810="並","-",HLOOKUP(E810,単価表!$B$1:$D$2,2,FALSE)*B810))</f>
        <v>-</v>
      </c>
      <c r="G810" s="7" t="str">
        <f t="shared" si="25"/>
        <v>-</v>
      </c>
    </row>
    <row r="811" spans="1:7">
      <c r="A811">
        <v>810</v>
      </c>
      <c r="B811">
        <v>2.794</v>
      </c>
      <c r="C811" t="s">
        <v>1</v>
      </c>
      <c r="D811" t="s">
        <v>1</v>
      </c>
      <c r="E811" t="str">
        <f t="shared" si="24"/>
        <v>優</v>
      </c>
      <c r="F811" s="7">
        <f>IF(A811="","",IF(E811="並","-",HLOOKUP(E811,単価表!$B$1:$D$2,2,FALSE)*B811))</f>
        <v>4191</v>
      </c>
      <c r="G811" s="7">
        <f t="shared" si="25"/>
        <v>4200</v>
      </c>
    </row>
    <row r="812" spans="1:7">
      <c r="A812">
        <v>811</v>
      </c>
      <c r="B812">
        <v>2.242</v>
      </c>
      <c r="C812" t="s">
        <v>1</v>
      </c>
      <c r="D812" t="s">
        <v>1</v>
      </c>
      <c r="E812" t="str">
        <f t="shared" si="24"/>
        <v>優</v>
      </c>
      <c r="F812" s="7">
        <f>IF(A812="","",IF(E812="並","-",HLOOKUP(E812,単価表!$B$1:$D$2,2,FALSE)*B812))</f>
        <v>3363</v>
      </c>
      <c r="G812" s="7">
        <f t="shared" si="25"/>
        <v>3400</v>
      </c>
    </row>
    <row r="813" spans="1:7">
      <c r="A813">
        <v>812</v>
      </c>
      <c r="B813">
        <v>0.95399999999999996</v>
      </c>
      <c r="C813" t="s">
        <v>1</v>
      </c>
      <c r="D813" t="s">
        <v>3</v>
      </c>
      <c r="E813" t="str">
        <f t="shared" si="24"/>
        <v>良</v>
      </c>
      <c r="F813" s="7">
        <f>IF(A813="","",IF(E813="並","-",HLOOKUP(E813,単価表!$B$1:$D$2,2,FALSE)*B813))</f>
        <v>1144.8</v>
      </c>
      <c r="G813" s="7">
        <f t="shared" si="25"/>
        <v>1150</v>
      </c>
    </row>
    <row r="814" spans="1:7">
      <c r="A814">
        <v>813</v>
      </c>
      <c r="B814">
        <v>1.599</v>
      </c>
      <c r="C814" t="s">
        <v>3</v>
      </c>
      <c r="D814" t="s">
        <v>3</v>
      </c>
      <c r="E814" t="str">
        <f t="shared" si="24"/>
        <v>良</v>
      </c>
      <c r="F814" s="7">
        <f>IF(A814="","",IF(E814="並","-",HLOOKUP(E814,単価表!$B$1:$D$2,2,FALSE)*B814))</f>
        <v>1918.8</v>
      </c>
      <c r="G814" s="7">
        <f t="shared" si="25"/>
        <v>1950</v>
      </c>
    </row>
    <row r="815" spans="1:7">
      <c r="A815">
        <v>814</v>
      </c>
      <c r="B815">
        <v>0.629</v>
      </c>
      <c r="C815" t="s">
        <v>5</v>
      </c>
      <c r="D815" t="s">
        <v>3</v>
      </c>
      <c r="E815" t="str">
        <f t="shared" si="24"/>
        <v>並</v>
      </c>
      <c r="F815" s="7" t="str">
        <f>IF(A815="","",IF(E815="並","-",HLOOKUP(E815,単価表!$B$1:$D$2,2,FALSE)*B815))</f>
        <v>-</v>
      </c>
      <c r="G815" s="7" t="str">
        <f t="shared" si="25"/>
        <v>-</v>
      </c>
    </row>
    <row r="816" spans="1:7">
      <c r="A816">
        <v>815</v>
      </c>
      <c r="B816">
        <v>1.607</v>
      </c>
      <c r="C816" t="s">
        <v>1</v>
      </c>
      <c r="D816" t="s">
        <v>1</v>
      </c>
      <c r="E816" t="str">
        <f t="shared" si="24"/>
        <v>優</v>
      </c>
      <c r="F816" s="7">
        <f>IF(A816="","",IF(E816="並","-",HLOOKUP(E816,単価表!$B$1:$D$2,2,FALSE)*B816))</f>
        <v>2410.5</v>
      </c>
      <c r="G816" s="7">
        <f t="shared" si="25"/>
        <v>2450</v>
      </c>
    </row>
    <row r="817" spans="1:7">
      <c r="A817">
        <v>816</v>
      </c>
      <c r="B817">
        <v>1.7749999999999999</v>
      </c>
      <c r="C817" t="s">
        <v>3</v>
      </c>
      <c r="D817" t="s">
        <v>3</v>
      </c>
      <c r="E817" t="str">
        <f t="shared" si="24"/>
        <v>良</v>
      </c>
      <c r="F817" s="7">
        <f>IF(A817="","",IF(E817="並","-",HLOOKUP(E817,単価表!$B$1:$D$2,2,FALSE)*B817))</f>
        <v>2130</v>
      </c>
      <c r="G817" s="7">
        <f t="shared" si="25"/>
        <v>2150</v>
      </c>
    </row>
    <row r="818" spans="1:7">
      <c r="A818">
        <v>817</v>
      </c>
      <c r="B818">
        <v>0.97099999999999997</v>
      </c>
      <c r="C818" t="s">
        <v>5</v>
      </c>
      <c r="D818" t="s">
        <v>5</v>
      </c>
      <c r="E818" t="str">
        <f t="shared" si="24"/>
        <v>並</v>
      </c>
      <c r="F818" s="7" t="str">
        <f>IF(A818="","",IF(E818="並","-",HLOOKUP(E818,単価表!$B$1:$D$2,2,FALSE)*B818))</f>
        <v>-</v>
      </c>
      <c r="G818" s="7" t="str">
        <f t="shared" si="25"/>
        <v>-</v>
      </c>
    </row>
    <row r="819" spans="1:7">
      <c r="A819">
        <v>818</v>
      </c>
      <c r="B819">
        <v>1.01</v>
      </c>
      <c r="C819" t="s">
        <v>3</v>
      </c>
      <c r="D819" t="s">
        <v>5</v>
      </c>
      <c r="E819" t="str">
        <f t="shared" si="24"/>
        <v>並</v>
      </c>
      <c r="F819" s="7" t="str">
        <f>IF(A819="","",IF(E819="並","-",HLOOKUP(E819,単価表!$B$1:$D$2,2,FALSE)*B819))</f>
        <v>-</v>
      </c>
      <c r="G819" s="7" t="str">
        <f t="shared" si="25"/>
        <v>-</v>
      </c>
    </row>
    <row r="820" spans="1:7">
      <c r="A820">
        <v>819</v>
      </c>
      <c r="B820">
        <v>1.653</v>
      </c>
      <c r="C820" t="s">
        <v>3</v>
      </c>
      <c r="D820" t="s">
        <v>3</v>
      </c>
      <c r="E820" t="str">
        <f t="shared" si="24"/>
        <v>良</v>
      </c>
      <c r="F820" s="7">
        <f>IF(A820="","",IF(E820="並","-",HLOOKUP(E820,単価表!$B$1:$D$2,2,FALSE)*B820))</f>
        <v>1983.6000000000001</v>
      </c>
      <c r="G820" s="7">
        <f t="shared" si="25"/>
        <v>2000</v>
      </c>
    </row>
    <row r="821" spans="1:7">
      <c r="A821">
        <v>820</v>
      </c>
      <c r="B821">
        <v>1.0469999999999999</v>
      </c>
      <c r="C821" t="s">
        <v>5</v>
      </c>
      <c r="D821" t="s">
        <v>5</v>
      </c>
      <c r="E821" t="str">
        <f t="shared" si="24"/>
        <v>並</v>
      </c>
      <c r="F821" s="7" t="str">
        <f>IF(A821="","",IF(E821="並","-",HLOOKUP(E821,単価表!$B$1:$D$2,2,FALSE)*B821))</f>
        <v>-</v>
      </c>
      <c r="G821" s="7" t="str">
        <f t="shared" si="25"/>
        <v>-</v>
      </c>
    </row>
    <row r="822" spans="1:7">
      <c r="A822">
        <v>821</v>
      </c>
      <c r="B822">
        <v>1.9570000000000001</v>
      </c>
      <c r="C822" t="s">
        <v>1</v>
      </c>
      <c r="D822" t="s">
        <v>1</v>
      </c>
      <c r="E822" t="str">
        <f t="shared" si="24"/>
        <v>優</v>
      </c>
      <c r="F822" s="7">
        <f>IF(A822="","",IF(E822="並","-",HLOOKUP(E822,単価表!$B$1:$D$2,2,FALSE)*B822))</f>
        <v>2935.5</v>
      </c>
      <c r="G822" s="7">
        <f t="shared" si="25"/>
        <v>2950</v>
      </c>
    </row>
    <row r="823" spans="1:7">
      <c r="A823">
        <v>822</v>
      </c>
      <c r="B823">
        <v>2.9060000000000001</v>
      </c>
      <c r="C823" t="s">
        <v>5</v>
      </c>
      <c r="D823" t="s">
        <v>1</v>
      </c>
      <c r="E823" t="str">
        <f t="shared" si="24"/>
        <v>並</v>
      </c>
      <c r="F823" s="7" t="str">
        <f>IF(A823="","",IF(E823="並","-",HLOOKUP(E823,単価表!$B$1:$D$2,2,FALSE)*B823))</f>
        <v>-</v>
      </c>
      <c r="G823" s="7" t="str">
        <f t="shared" si="25"/>
        <v>-</v>
      </c>
    </row>
    <row r="824" spans="1:7">
      <c r="A824">
        <v>823</v>
      </c>
      <c r="B824">
        <v>2.335</v>
      </c>
      <c r="C824" t="s">
        <v>1</v>
      </c>
      <c r="D824" t="s">
        <v>5</v>
      </c>
      <c r="E824" t="str">
        <f t="shared" si="24"/>
        <v>並</v>
      </c>
      <c r="F824" s="7" t="str">
        <f>IF(A824="","",IF(E824="並","-",HLOOKUP(E824,単価表!$B$1:$D$2,2,FALSE)*B824))</f>
        <v>-</v>
      </c>
      <c r="G824" s="7" t="str">
        <f t="shared" si="25"/>
        <v>-</v>
      </c>
    </row>
    <row r="825" spans="1:7">
      <c r="A825">
        <v>824</v>
      </c>
      <c r="B825">
        <v>0.91700000000000004</v>
      </c>
      <c r="C825" t="s">
        <v>3</v>
      </c>
      <c r="D825" t="s">
        <v>1</v>
      </c>
      <c r="E825" t="str">
        <f t="shared" si="24"/>
        <v>良</v>
      </c>
      <c r="F825" s="7">
        <f>IF(A825="","",IF(E825="並","-",HLOOKUP(E825,単価表!$B$1:$D$2,2,FALSE)*B825))</f>
        <v>1100.4000000000001</v>
      </c>
      <c r="G825" s="7">
        <f t="shared" si="25"/>
        <v>1150</v>
      </c>
    </row>
    <row r="826" spans="1:7">
      <c r="A826">
        <v>825</v>
      </c>
      <c r="B826">
        <v>2.641</v>
      </c>
      <c r="C826" t="s">
        <v>3</v>
      </c>
      <c r="D826" t="s">
        <v>3</v>
      </c>
      <c r="E826" t="str">
        <f t="shared" si="24"/>
        <v>良</v>
      </c>
      <c r="F826" s="7">
        <f>IF(A826="","",IF(E826="並","-",HLOOKUP(E826,単価表!$B$1:$D$2,2,FALSE)*B826))</f>
        <v>3169.2</v>
      </c>
      <c r="G826" s="7">
        <f t="shared" si="25"/>
        <v>3200</v>
      </c>
    </row>
    <row r="827" spans="1:7">
      <c r="A827">
        <v>826</v>
      </c>
      <c r="B827">
        <v>1.1359999999999999</v>
      </c>
      <c r="C827" t="s">
        <v>3</v>
      </c>
      <c r="D827" t="s">
        <v>3</v>
      </c>
      <c r="E827" t="str">
        <f t="shared" si="24"/>
        <v>良</v>
      </c>
      <c r="F827" s="7">
        <f>IF(A827="","",IF(E827="並","-",HLOOKUP(E827,単価表!$B$1:$D$2,2,FALSE)*B827))</f>
        <v>1363.1999999999998</v>
      </c>
      <c r="G827" s="7">
        <f t="shared" si="25"/>
        <v>1400</v>
      </c>
    </row>
    <row r="828" spans="1:7">
      <c r="A828">
        <v>827</v>
      </c>
      <c r="B828">
        <v>1.7430000000000001</v>
      </c>
      <c r="C828" t="s">
        <v>5</v>
      </c>
      <c r="D828" t="s">
        <v>1</v>
      </c>
      <c r="E828" t="str">
        <f t="shared" si="24"/>
        <v>並</v>
      </c>
      <c r="F828" s="7" t="str">
        <f>IF(A828="","",IF(E828="並","-",HLOOKUP(E828,単価表!$B$1:$D$2,2,FALSE)*B828))</f>
        <v>-</v>
      </c>
      <c r="G828" s="7" t="str">
        <f t="shared" si="25"/>
        <v>-</v>
      </c>
    </row>
    <row r="829" spans="1:7">
      <c r="A829">
        <v>828</v>
      </c>
      <c r="B829">
        <v>1.244</v>
      </c>
      <c r="C829" t="s">
        <v>5</v>
      </c>
      <c r="D829" t="s">
        <v>3</v>
      </c>
      <c r="E829" t="str">
        <f t="shared" si="24"/>
        <v>並</v>
      </c>
      <c r="F829" s="7" t="str">
        <f>IF(A829="","",IF(E829="並","-",HLOOKUP(E829,単価表!$B$1:$D$2,2,FALSE)*B829))</f>
        <v>-</v>
      </c>
      <c r="G829" s="7" t="str">
        <f t="shared" si="25"/>
        <v>-</v>
      </c>
    </row>
    <row r="830" spans="1:7">
      <c r="A830">
        <v>829</v>
      </c>
      <c r="B830">
        <v>2.488</v>
      </c>
      <c r="C830" t="s">
        <v>1</v>
      </c>
      <c r="D830" t="s">
        <v>5</v>
      </c>
      <c r="E830" t="str">
        <f t="shared" si="24"/>
        <v>並</v>
      </c>
      <c r="F830" s="7" t="str">
        <f>IF(A830="","",IF(E830="並","-",HLOOKUP(E830,単価表!$B$1:$D$2,2,FALSE)*B830))</f>
        <v>-</v>
      </c>
      <c r="G830" s="7" t="str">
        <f t="shared" si="25"/>
        <v>-</v>
      </c>
    </row>
    <row r="831" spans="1:7">
      <c r="A831">
        <v>830</v>
      </c>
      <c r="B831">
        <v>1.4890000000000001</v>
      </c>
      <c r="C831" t="s">
        <v>5</v>
      </c>
      <c r="D831" t="s">
        <v>3</v>
      </c>
      <c r="E831" t="str">
        <f t="shared" si="24"/>
        <v>並</v>
      </c>
      <c r="F831" s="7" t="str">
        <f>IF(A831="","",IF(E831="並","-",HLOOKUP(E831,単価表!$B$1:$D$2,2,FALSE)*B831))</f>
        <v>-</v>
      </c>
      <c r="G831" s="7" t="str">
        <f t="shared" si="25"/>
        <v>-</v>
      </c>
    </row>
    <row r="832" spans="1:7">
      <c r="A832">
        <v>831</v>
      </c>
      <c r="B832">
        <v>2.1440000000000001</v>
      </c>
      <c r="C832" t="s">
        <v>3</v>
      </c>
      <c r="D832" t="s">
        <v>5</v>
      </c>
      <c r="E832" t="str">
        <f t="shared" si="24"/>
        <v>並</v>
      </c>
      <c r="F832" s="7" t="str">
        <f>IF(A832="","",IF(E832="並","-",HLOOKUP(E832,単価表!$B$1:$D$2,2,FALSE)*B832))</f>
        <v>-</v>
      </c>
      <c r="G832" s="7" t="str">
        <f t="shared" si="25"/>
        <v>-</v>
      </c>
    </row>
    <row r="833" spans="1:7">
      <c r="A833">
        <v>832</v>
      </c>
      <c r="B833">
        <v>2.1019999999999999</v>
      </c>
      <c r="C833" t="s">
        <v>1</v>
      </c>
      <c r="D833" t="s">
        <v>1</v>
      </c>
      <c r="E833" t="str">
        <f t="shared" si="24"/>
        <v>優</v>
      </c>
      <c r="F833" s="7">
        <f>IF(A833="","",IF(E833="並","-",HLOOKUP(E833,単価表!$B$1:$D$2,2,FALSE)*B833))</f>
        <v>3153</v>
      </c>
      <c r="G833" s="7">
        <f t="shared" si="25"/>
        <v>3200</v>
      </c>
    </row>
    <row r="834" spans="1:7">
      <c r="A834">
        <v>833</v>
      </c>
      <c r="B834">
        <v>0.86099999999999999</v>
      </c>
      <c r="C834" t="s">
        <v>1</v>
      </c>
      <c r="D834" t="s">
        <v>3</v>
      </c>
      <c r="E834" t="str">
        <f t="shared" si="24"/>
        <v>良</v>
      </c>
      <c r="F834" s="7">
        <f>IF(A834="","",IF(E834="並","-",HLOOKUP(E834,単価表!$B$1:$D$2,2,FALSE)*B834))</f>
        <v>1033.2</v>
      </c>
      <c r="G834" s="7">
        <f t="shared" si="25"/>
        <v>1050</v>
      </c>
    </row>
    <row r="835" spans="1:7">
      <c r="A835">
        <v>834</v>
      </c>
      <c r="B835">
        <v>2.2349999999999999</v>
      </c>
      <c r="C835" t="s">
        <v>1</v>
      </c>
      <c r="D835" t="s">
        <v>5</v>
      </c>
      <c r="E835" t="str">
        <f t="shared" ref="E835:E898" si="26">IF(A835="","",IF(OR(C835="並",D835="並"),"並",IF(OR(C835="良",D835="良"),"良","優")))</f>
        <v>並</v>
      </c>
      <c r="F835" s="7" t="str">
        <f>IF(A835="","",IF(E835="並","-",HLOOKUP(E835,単価表!$B$1:$D$2,2,FALSE)*B835))</f>
        <v>-</v>
      </c>
      <c r="G835" s="7" t="str">
        <f t="shared" si="25"/>
        <v>-</v>
      </c>
    </row>
    <row r="836" spans="1:7">
      <c r="A836">
        <v>835</v>
      </c>
      <c r="B836">
        <v>2.6659999999999999</v>
      </c>
      <c r="C836" t="s">
        <v>1</v>
      </c>
      <c r="D836" t="s">
        <v>5</v>
      </c>
      <c r="E836" t="str">
        <f t="shared" si="26"/>
        <v>並</v>
      </c>
      <c r="F836" s="7" t="str">
        <f>IF(A836="","",IF(E836="並","-",HLOOKUP(E836,単価表!$B$1:$D$2,2,FALSE)*B836))</f>
        <v>-</v>
      </c>
      <c r="G836" s="7" t="str">
        <f t="shared" ref="G836:G899" si="27">IF(A836="","",IF(E836="並","-",ROUNDUP(F836/50,0)*50))</f>
        <v>-</v>
      </c>
    </row>
    <row r="837" spans="1:7">
      <c r="A837">
        <v>836</v>
      </c>
      <c r="B837">
        <v>2.157</v>
      </c>
      <c r="C837" t="s">
        <v>3</v>
      </c>
      <c r="D837" t="s">
        <v>3</v>
      </c>
      <c r="E837" t="str">
        <f t="shared" si="26"/>
        <v>良</v>
      </c>
      <c r="F837" s="7">
        <f>IF(A837="","",IF(E837="並","-",HLOOKUP(E837,単価表!$B$1:$D$2,2,FALSE)*B837))</f>
        <v>2588.4</v>
      </c>
      <c r="G837" s="7">
        <f t="shared" si="27"/>
        <v>2600</v>
      </c>
    </row>
    <row r="838" spans="1:7">
      <c r="A838">
        <v>837</v>
      </c>
      <c r="B838">
        <v>2.222</v>
      </c>
      <c r="C838" t="s">
        <v>1</v>
      </c>
      <c r="D838" t="s">
        <v>5</v>
      </c>
      <c r="E838" t="str">
        <f t="shared" si="26"/>
        <v>並</v>
      </c>
      <c r="F838" s="7" t="str">
        <f>IF(A838="","",IF(E838="並","-",HLOOKUP(E838,単価表!$B$1:$D$2,2,FALSE)*B838))</f>
        <v>-</v>
      </c>
      <c r="G838" s="7" t="str">
        <f t="shared" si="27"/>
        <v>-</v>
      </c>
    </row>
    <row r="839" spans="1:7">
      <c r="A839">
        <v>838</v>
      </c>
      <c r="B839">
        <v>2.38</v>
      </c>
      <c r="C839" t="s">
        <v>5</v>
      </c>
      <c r="D839" t="s">
        <v>3</v>
      </c>
      <c r="E839" t="str">
        <f t="shared" si="26"/>
        <v>並</v>
      </c>
      <c r="F839" s="7" t="str">
        <f>IF(A839="","",IF(E839="並","-",HLOOKUP(E839,単価表!$B$1:$D$2,2,FALSE)*B839))</f>
        <v>-</v>
      </c>
      <c r="G839" s="7" t="str">
        <f t="shared" si="27"/>
        <v>-</v>
      </c>
    </row>
    <row r="840" spans="1:7">
      <c r="A840">
        <v>839</v>
      </c>
      <c r="B840">
        <v>1.2669999999999999</v>
      </c>
      <c r="C840" t="s">
        <v>3</v>
      </c>
      <c r="D840" t="s">
        <v>3</v>
      </c>
      <c r="E840" t="str">
        <f t="shared" si="26"/>
        <v>良</v>
      </c>
      <c r="F840" s="7">
        <f>IF(A840="","",IF(E840="並","-",HLOOKUP(E840,単価表!$B$1:$D$2,2,FALSE)*B840))</f>
        <v>1520.3999999999999</v>
      </c>
      <c r="G840" s="7">
        <f t="shared" si="27"/>
        <v>1550</v>
      </c>
    </row>
    <row r="841" spans="1:7">
      <c r="A841">
        <v>840</v>
      </c>
      <c r="B841">
        <v>1.786</v>
      </c>
      <c r="C841" t="s">
        <v>5</v>
      </c>
      <c r="D841" t="s">
        <v>5</v>
      </c>
      <c r="E841" t="str">
        <f t="shared" si="26"/>
        <v>並</v>
      </c>
      <c r="F841" s="7" t="str">
        <f>IF(A841="","",IF(E841="並","-",HLOOKUP(E841,単価表!$B$1:$D$2,2,FALSE)*B841))</f>
        <v>-</v>
      </c>
      <c r="G841" s="7" t="str">
        <f t="shared" si="27"/>
        <v>-</v>
      </c>
    </row>
    <row r="842" spans="1:7">
      <c r="A842">
        <v>841</v>
      </c>
      <c r="B842">
        <v>1.679</v>
      </c>
      <c r="C842" t="s">
        <v>1</v>
      </c>
      <c r="D842" t="s">
        <v>1</v>
      </c>
      <c r="E842" t="str">
        <f t="shared" si="26"/>
        <v>優</v>
      </c>
      <c r="F842" s="7">
        <f>IF(A842="","",IF(E842="並","-",HLOOKUP(E842,単価表!$B$1:$D$2,2,FALSE)*B842))</f>
        <v>2518.5</v>
      </c>
      <c r="G842" s="7">
        <f t="shared" si="27"/>
        <v>2550</v>
      </c>
    </row>
    <row r="843" spans="1:7">
      <c r="A843">
        <v>842</v>
      </c>
      <c r="B843">
        <v>0.745</v>
      </c>
      <c r="C843" t="s">
        <v>3</v>
      </c>
      <c r="D843" t="s">
        <v>3</v>
      </c>
      <c r="E843" t="str">
        <f t="shared" si="26"/>
        <v>良</v>
      </c>
      <c r="F843" s="7">
        <f>IF(A843="","",IF(E843="並","-",HLOOKUP(E843,単価表!$B$1:$D$2,2,FALSE)*B843))</f>
        <v>894</v>
      </c>
      <c r="G843" s="7">
        <f t="shared" si="27"/>
        <v>900</v>
      </c>
    </row>
    <row r="844" spans="1:7">
      <c r="A844">
        <v>843</v>
      </c>
      <c r="B844">
        <v>2.1920000000000002</v>
      </c>
      <c r="C844" t="s">
        <v>5</v>
      </c>
      <c r="D844" t="s">
        <v>3</v>
      </c>
      <c r="E844" t="str">
        <f t="shared" si="26"/>
        <v>並</v>
      </c>
      <c r="F844" s="7" t="str">
        <f>IF(A844="","",IF(E844="並","-",HLOOKUP(E844,単価表!$B$1:$D$2,2,FALSE)*B844))</f>
        <v>-</v>
      </c>
      <c r="G844" s="7" t="str">
        <f t="shared" si="27"/>
        <v>-</v>
      </c>
    </row>
    <row r="845" spans="1:7">
      <c r="A845">
        <v>844</v>
      </c>
      <c r="B845">
        <v>0.752</v>
      </c>
      <c r="C845" t="s">
        <v>3</v>
      </c>
      <c r="D845" t="s">
        <v>5</v>
      </c>
      <c r="E845" t="str">
        <f t="shared" si="26"/>
        <v>並</v>
      </c>
      <c r="F845" s="7" t="str">
        <f>IF(A845="","",IF(E845="並","-",HLOOKUP(E845,単価表!$B$1:$D$2,2,FALSE)*B845))</f>
        <v>-</v>
      </c>
      <c r="G845" s="7" t="str">
        <f t="shared" si="27"/>
        <v>-</v>
      </c>
    </row>
    <row r="846" spans="1:7">
      <c r="A846">
        <v>845</v>
      </c>
      <c r="B846">
        <v>1.5209999999999999</v>
      </c>
      <c r="C846" t="s">
        <v>3</v>
      </c>
      <c r="D846" t="s">
        <v>5</v>
      </c>
      <c r="E846" t="str">
        <f t="shared" si="26"/>
        <v>並</v>
      </c>
      <c r="F846" s="7" t="str">
        <f>IF(A846="","",IF(E846="並","-",HLOOKUP(E846,単価表!$B$1:$D$2,2,FALSE)*B846))</f>
        <v>-</v>
      </c>
      <c r="G846" s="7" t="str">
        <f t="shared" si="27"/>
        <v>-</v>
      </c>
    </row>
    <row r="847" spans="1:7">
      <c r="A847">
        <v>846</v>
      </c>
      <c r="B847">
        <v>2.331</v>
      </c>
      <c r="C847" t="s">
        <v>1</v>
      </c>
      <c r="D847" t="s">
        <v>1</v>
      </c>
      <c r="E847" t="str">
        <f t="shared" si="26"/>
        <v>優</v>
      </c>
      <c r="F847" s="7">
        <f>IF(A847="","",IF(E847="並","-",HLOOKUP(E847,単価表!$B$1:$D$2,2,FALSE)*B847))</f>
        <v>3496.5</v>
      </c>
      <c r="G847" s="7">
        <f t="shared" si="27"/>
        <v>3500</v>
      </c>
    </row>
    <row r="848" spans="1:7">
      <c r="A848">
        <v>847</v>
      </c>
      <c r="B848">
        <v>1.6859999999999999</v>
      </c>
      <c r="C848" t="s">
        <v>5</v>
      </c>
      <c r="D848" t="s">
        <v>3</v>
      </c>
      <c r="E848" t="str">
        <f t="shared" si="26"/>
        <v>並</v>
      </c>
      <c r="F848" s="7" t="str">
        <f>IF(A848="","",IF(E848="並","-",HLOOKUP(E848,単価表!$B$1:$D$2,2,FALSE)*B848))</f>
        <v>-</v>
      </c>
      <c r="G848" s="7" t="str">
        <f t="shared" si="27"/>
        <v>-</v>
      </c>
    </row>
    <row r="849" spans="1:7">
      <c r="A849">
        <v>848</v>
      </c>
      <c r="B849">
        <v>1.619</v>
      </c>
      <c r="C849" t="s">
        <v>1</v>
      </c>
      <c r="D849" t="s">
        <v>5</v>
      </c>
      <c r="E849" t="str">
        <f t="shared" si="26"/>
        <v>並</v>
      </c>
      <c r="F849" s="7" t="str">
        <f>IF(A849="","",IF(E849="並","-",HLOOKUP(E849,単価表!$B$1:$D$2,2,FALSE)*B849))</f>
        <v>-</v>
      </c>
      <c r="G849" s="7" t="str">
        <f t="shared" si="27"/>
        <v>-</v>
      </c>
    </row>
    <row r="850" spans="1:7">
      <c r="A850">
        <v>849</v>
      </c>
      <c r="B850">
        <v>1.6519999999999999</v>
      </c>
      <c r="C850" t="s">
        <v>3</v>
      </c>
      <c r="D850" t="s">
        <v>1</v>
      </c>
      <c r="E850" t="str">
        <f t="shared" si="26"/>
        <v>良</v>
      </c>
      <c r="F850" s="7">
        <f>IF(A850="","",IF(E850="並","-",HLOOKUP(E850,単価表!$B$1:$D$2,2,FALSE)*B850))</f>
        <v>1982.3999999999999</v>
      </c>
      <c r="G850" s="7">
        <f t="shared" si="27"/>
        <v>2000</v>
      </c>
    </row>
    <row r="851" spans="1:7">
      <c r="A851">
        <v>850</v>
      </c>
      <c r="B851">
        <v>0.748</v>
      </c>
      <c r="C851" t="s">
        <v>5</v>
      </c>
      <c r="D851" t="s">
        <v>1</v>
      </c>
      <c r="E851" t="str">
        <f t="shared" si="26"/>
        <v>並</v>
      </c>
      <c r="F851" s="7" t="str">
        <f>IF(A851="","",IF(E851="並","-",HLOOKUP(E851,単価表!$B$1:$D$2,2,FALSE)*B851))</f>
        <v>-</v>
      </c>
      <c r="G851" s="7" t="str">
        <f t="shared" si="27"/>
        <v>-</v>
      </c>
    </row>
    <row r="852" spans="1:7">
      <c r="A852">
        <v>851</v>
      </c>
      <c r="B852">
        <v>2.6360000000000001</v>
      </c>
      <c r="C852" t="s">
        <v>1</v>
      </c>
      <c r="D852" t="s">
        <v>3</v>
      </c>
      <c r="E852" t="str">
        <f t="shared" si="26"/>
        <v>良</v>
      </c>
      <c r="F852" s="7">
        <f>IF(A852="","",IF(E852="並","-",HLOOKUP(E852,単価表!$B$1:$D$2,2,FALSE)*B852))</f>
        <v>3163.2000000000003</v>
      </c>
      <c r="G852" s="7">
        <f t="shared" si="27"/>
        <v>3200</v>
      </c>
    </row>
    <row r="853" spans="1:7">
      <c r="A853">
        <v>852</v>
      </c>
      <c r="B853">
        <v>2.9209999999999998</v>
      </c>
      <c r="C853" t="s">
        <v>3</v>
      </c>
      <c r="D853" t="s">
        <v>3</v>
      </c>
      <c r="E853" t="str">
        <f t="shared" si="26"/>
        <v>良</v>
      </c>
      <c r="F853" s="7">
        <f>IF(A853="","",IF(E853="並","-",HLOOKUP(E853,単価表!$B$1:$D$2,2,FALSE)*B853))</f>
        <v>3505.2</v>
      </c>
      <c r="G853" s="7">
        <f t="shared" si="27"/>
        <v>3550</v>
      </c>
    </row>
    <row r="854" spans="1:7">
      <c r="A854">
        <v>853</v>
      </c>
      <c r="B854">
        <v>1.1479999999999999</v>
      </c>
      <c r="C854" t="s">
        <v>1</v>
      </c>
      <c r="D854" t="s">
        <v>1</v>
      </c>
      <c r="E854" t="str">
        <f t="shared" si="26"/>
        <v>優</v>
      </c>
      <c r="F854" s="7">
        <f>IF(A854="","",IF(E854="並","-",HLOOKUP(E854,単価表!$B$1:$D$2,2,FALSE)*B854))</f>
        <v>1721.9999999999998</v>
      </c>
      <c r="G854" s="7">
        <f t="shared" si="27"/>
        <v>1750</v>
      </c>
    </row>
    <row r="855" spans="1:7">
      <c r="A855">
        <v>854</v>
      </c>
      <c r="B855">
        <v>2.956</v>
      </c>
      <c r="C855" t="s">
        <v>1</v>
      </c>
      <c r="D855" t="s">
        <v>3</v>
      </c>
      <c r="E855" t="str">
        <f t="shared" si="26"/>
        <v>良</v>
      </c>
      <c r="F855" s="7">
        <f>IF(A855="","",IF(E855="並","-",HLOOKUP(E855,単価表!$B$1:$D$2,2,FALSE)*B855))</f>
        <v>3547.2</v>
      </c>
      <c r="G855" s="7">
        <f t="shared" si="27"/>
        <v>3550</v>
      </c>
    </row>
    <row r="856" spans="1:7">
      <c r="A856">
        <v>855</v>
      </c>
      <c r="B856">
        <v>1.2390000000000001</v>
      </c>
      <c r="C856" t="s">
        <v>3</v>
      </c>
      <c r="D856" t="s">
        <v>5</v>
      </c>
      <c r="E856" t="str">
        <f t="shared" si="26"/>
        <v>並</v>
      </c>
      <c r="F856" s="7" t="str">
        <f>IF(A856="","",IF(E856="並","-",HLOOKUP(E856,単価表!$B$1:$D$2,2,FALSE)*B856))</f>
        <v>-</v>
      </c>
      <c r="G856" s="7" t="str">
        <f t="shared" si="27"/>
        <v>-</v>
      </c>
    </row>
    <row r="857" spans="1:7">
      <c r="A857">
        <v>856</v>
      </c>
      <c r="B857">
        <v>2.4140000000000001</v>
      </c>
      <c r="C857" t="s">
        <v>3</v>
      </c>
      <c r="D857" t="s">
        <v>1</v>
      </c>
      <c r="E857" t="str">
        <f t="shared" si="26"/>
        <v>良</v>
      </c>
      <c r="F857" s="7">
        <f>IF(A857="","",IF(E857="並","-",HLOOKUP(E857,単価表!$B$1:$D$2,2,FALSE)*B857))</f>
        <v>2896.8</v>
      </c>
      <c r="G857" s="7">
        <f t="shared" si="27"/>
        <v>2900</v>
      </c>
    </row>
    <row r="858" spans="1:7">
      <c r="A858">
        <v>857</v>
      </c>
      <c r="B858">
        <v>2.4239999999999999</v>
      </c>
      <c r="C858" t="s">
        <v>1</v>
      </c>
      <c r="D858" t="s">
        <v>5</v>
      </c>
      <c r="E858" t="str">
        <f t="shared" si="26"/>
        <v>並</v>
      </c>
      <c r="F858" s="7" t="str">
        <f>IF(A858="","",IF(E858="並","-",HLOOKUP(E858,単価表!$B$1:$D$2,2,FALSE)*B858))</f>
        <v>-</v>
      </c>
      <c r="G858" s="7" t="str">
        <f t="shared" si="27"/>
        <v>-</v>
      </c>
    </row>
    <row r="859" spans="1:7">
      <c r="A859">
        <v>858</v>
      </c>
      <c r="B859">
        <v>2.319</v>
      </c>
      <c r="C859" t="s">
        <v>3</v>
      </c>
      <c r="D859" t="s">
        <v>3</v>
      </c>
      <c r="E859" t="str">
        <f t="shared" si="26"/>
        <v>良</v>
      </c>
      <c r="F859" s="7">
        <f>IF(A859="","",IF(E859="並","-",HLOOKUP(E859,単価表!$B$1:$D$2,2,FALSE)*B859))</f>
        <v>2782.7999999999997</v>
      </c>
      <c r="G859" s="7">
        <f t="shared" si="27"/>
        <v>2800</v>
      </c>
    </row>
    <row r="860" spans="1:7">
      <c r="A860">
        <v>859</v>
      </c>
      <c r="B860">
        <v>0.53300000000000003</v>
      </c>
      <c r="C860" t="s">
        <v>3</v>
      </c>
      <c r="D860" t="s">
        <v>1</v>
      </c>
      <c r="E860" t="str">
        <f t="shared" si="26"/>
        <v>良</v>
      </c>
      <c r="F860" s="7">
        <f>IF(A860="","",IF(E860="並","-",HLOOKUP(E860,単価表!$B$1:$D$2,2,FALSE)*B860))</f>
        <v>639.6</v>
      </c>
      <c r="G860" s="7">
        <f t="shared" si="27"/>
        <v>650</v>
      </c>
    </row>
    <row r="861" spans="1:7">
      <c r="A861">
        <v>860</v>
      </c>
      <c r="B861">
        <v>2.0990000000000002</v>
      </c>
      <c r="C861" t="s">
        <v>1</v>
      </c>
      <c r="D861" t="s">
        <v>3</v>
      </c>
      <c r="E861" t="str">
        <f t="shared" si="26"/>
        <v>良</v>
      </c>
      <c r="F861" s="7">
        <f>IF(A861="","",IF(E861="並","-",HLOOKUP(E861,単価表!$B$1:$D$2,2,FALSE)*B861))</f>
        <v>2518.8000000000002</v>
      </c>
      <c r="G861" s="7">
        <f t="shared" si="27"/>
        <v>2550</v>
      </c>
    </row>
    <row r="862" spans="1:7">
      <c r="A862">
        <v>861</v>
      </c>
      <c r="B862">
        <v>1.8959999999999999</v>
      </c>
      <c r="C862" t="s">
        <v>3</v>
      </c>
      <c r="D862" t="s">
        <v>3</v>
      </c>
      <c r="E862" t="str">
        <f t="shared" si="26"/>
        <v>良</v>
      </c>
      <c r="F862" s="7">
        <f>IF(A862="","",IF(E862="並","-",HLOOKUP(E862,単価表!$B$1:$D$2,2,FALSE)*B862))</f>
        <v>2275.1999999999998</v>
      </c>
      <c r="G862" s="7">
        <f t="shared" si="27"/>
        <v>2300</v>
      </c>
    </row>
    <row r="863" spans="1:7">
      <c r="A863">
        <v>862</v>
      </c>
      <c r="B863">
        <v>0.95499999999999996</v>
      </c>
      <c r="C863" t="s">
        <v>1</v>
      </c>
      <c r="D863" t="s">
        <v>5</v>
      </c>
      <c r="E863" t="str">
        <f t="shared" si="26"/>
        <v>並</v>
      </c>
      <c r="F863" s="7" t="str">
        <f>IF(A863="","",IF(E863="並","-",HLOOKUP(E863,単価表!$B$1:$D$2,2,FALSE)*B863))</f>
        <v>-</v>
      </c>
      <c r="G863" s="7" t="str">
        <f t="shared" si="27"/>
        <v>-</v>
      </c>
    </row>
    <row r="864" spans="1:7">
      <c r="A864">
        <v>863</v>
      </c>
      <c r="B864">
        <v>0.82399999999999995</v>
      </c>
      <c r="C864" t="s">
        <v>5</v>
      </c>
      <c r="D864" t="s">
        <v>3</v>
      </c>
      <c r="E864" t="str">
        <f t="shared" si="26"/>
        <v>並</v>
      </c>
      <c r="F864" s="7" t="str">
        <f>IF(A864="","",IF(E864="並","-",HLOOKUP(E864,単価表!$B$1:$D$2,2,FALSE)*B864))</f>
        <v>-</v>
      </c>
      <c r="G864" s="7" t="str">
        <f t="shared" si="27"/>
        <v>-</v>
      </c>
    </row>
    <row r="865" spans="1:7">
      <c r="A865">
        <v>864</v>
      </c>
      <c r="B865">
        <v>1.204</v>
      </c>
      <c r="C865" t="s">
        <v>3</v>
      </c>
      <c r="D865" t="s">
        <v>3</v>
      </c>
      <c r="E865" t="str">
        <f t="shared" si="26"/>
        <v>良</v>
      </c>
      <c r="F865" s="7">
        <f>IF(A865="","",IF(E865="並","-",HLOOKUP(E865,単価表!$B$1:$D$2,2,FALSE)*B865))</f>
        <v>1444.8</v>
      </c>
      <c r="G865" s="7">
        <f t="shared" si="27"/>
        <v>1450</v>
      </c>
    </row>
    <row r="866" spans="1:7">
      <c r="A866">
        <v>865</v>
      </c>
      <c r="B866">
        <v>2.1720000000000002</v>
      </c>
      <c r="C866" t="s">
        <v>1</v>
      </c>
      <c r="D866" t="s">
        <v>3</v>
      </c>
      <c r="E866" t="str">
        <f t="shared" si="26"/>
        <v>良</v>
      </c>
      <c r="F866" s="7">
        <f>IF(A866="","",IF(E866="並","-",HLOOKUP(E866,単価表!$B$1:$D$2,2,FALSE)*B866))</f>
        <v>2606.4</v>
      </c>
      <c r="G866" s="7">
        <f t="shared" si="27"/>
        <v>2650</v>
      </c>
    </row>
    <row r="867" spans="1:7">
      <c r="A867">
        <v>866</v>
      </c>
      <c r="B867">
        <v>2.581</v>
      </c>
      <c r="C867" t="s">
        <v>3</v>
      </c>
      <c r="D867" t="s">
        <v>1</v>
      </c>
      <c r="E867" t="str">
        <f t="shared" si="26"/>
        <v>良</v>
      </c>
      <c r="F867" s="7">
        <f>IF(A867="","",IF(E867="並","-",HLOOKUP(E867,単価表!$B$1:$D$2,2,FALSE)*B867))</f>
        <v>3097.2</v>
      </c>
      <c r="G867" s="7">
        <f t="shared" si="27"/>
        <v>3100</v>
      </c>
    </row>
    <row r="868" spans="1:7">
      <c r="A868">
        <v>867</v>
      </c>
      <c r="B868">
        <v>1.33</v>
      </c>
      <c r="C868" t="s">
        <v>5</v>
      </c>
      <c r="D868" t="s">
        <v>3</v>
      </c>
      <c r="E868" t="str">
        <f t="shared" si="26"/>
        <v>並</v>
      </c>
      <c r="F868" s="7" t="str">
        <f>IF(A868="","",IF(E868="並","-",HLOOKUP(E868,単価表!$B$1:$D$2,2,FALSE)*B868))</f>
        <v>-</v>
      </c>
      <c r="G868" s="7" t="str">
        <f t="shared" si="27"/>
        <v>-</v>
      </c>
    </row>
    <row r="869" spans="1:7">
      <c r="A869">
        <v>868</v>
      </c>
      <c r="B869">
        <v>0.61699999999999999</v>
      </c>
      <c r="C869" t="s">
        <v>5</v>
      </c>
      <c r="D869" t="s">
        <v>1</v>
      </c>
      <c r="E869" t="str">
        <f t="shared" si="26"/>
        <v>並</v>
      </c>
      <c r="F869" s="7" t="str">
        <f>IF(A869="","",IF(E869="並","-",HLOOKUP(E869,単価表!$B$1:$D$2,2,FALSE)*B869))</f>
        <v>-</v>
      </c>
      <c r="G869" s="7" t="str">
        <f t="shared" si="27"/>
        <v>-</v>
      </c>
    </row>
    <row r="870" spans="1:7">
      <c r="A870">
        <v>869</v>
      </c>
      <c r="B870">
        <v>1.5109999999999999</v>
      </c>
      <c r="C870" t="s">
        <v>5</v>
      </c>
      <c r="D870" t="s">
        <v>5</v>
      </c>
      <c r="E870" t="str">
        <f t="shared" si="26"/>
        <v>並</v>
      </c>
      <c r="F870" s="7" t="str">
        <f>IF(A870="","",IF(E870="並","-",HLOOKUP(E870,単価表!$B$1:$D$2,2,FALSE)*B870))</f>
        <v>-</v>
      </c>
      <c r="G870" s="7" t="str">
        <f t="shared" si="27"/>
        <v>-</v>
      </c>
    </row>
    <row r="871" spans="1:7">
      <c r="A871">
        <v>870</v>
      </c>
      <c r="B871">
        <v>1.4219999999999999</v>
      </c>
      <c r="C871" t="s">
        <v>5</v>
      </c>
      <c r="D871" t="s">
        <v>5</v>
      </c>
      <c r="E871" t="str">
        <f t="shared" si="26"/>
        <v>並</v>
      </c>
      <c r="F871" s="7" t="str">
        <f>IF(A871="","",IF(E871="並","-",HLOOKUP(E871,単価表!$B$1:$D$2,2,FALSE)*B871))</f>
        <v>-</v>
      </c>
      <c r="G871" s="7" t="str">
        <f t="shared" si="27"/>
        <v>-</v>
      </c>
    </row>
    <row r="872" spans="1:7">
      <c r="A872">
        <v>871</v>
      </c>
      <c r="B872">
        <v>2.2189999999999999</v>
      </c>
      <c r="C872" t="s">
        <v>5</v>
      </c>
      <c r="D872" t="s">
        <v>1</v>
      </c>
      <c r="E872" t="str">
        <f t="shared" si="26"/>
        <v>並</v>
      </c>
      <c r="F872" s="7" t="str">
        <f>IF(A872="","",IF(E872="並","-",HLOOKUP(E872,単価表!$B$1:$D$2,2,FALSE)*B872))</f>
        <v>-</v>
      </c>
      <c r="G872" s="7" t="str">
        <f t="shared" si="27"/>
        <v>-</v>
      </c>
    </row>
    <row r="873" spans="1:7">
      <c r="A873">
        <v>872</v>
      </c>
      <c r="B873">
        <v>1.5569999999999999</v>
      </c>
      <c r="C873" t="s">
        <v>1</v>
      </c>
      <c r="D873" t="s">
        <v>5</v>
      </c>
      <c r="E873" t="str">
        <f t="shared" si="26"/>
        <v>並</v>
      </c>
      <c r="F873" s="7" t="str">
        <f>IF(A873="","",IF(E873="並","-",HLOOKUP(E873,単価表!$B$1:$D$2,2,FALSE)*B873))</f>
        <v>-</v>
      </c>
      <c r="G873" s="7" t="str">
        <f t="shared" si="27"/>
        <v>-</v>
      </c>
    </row>
    <row r="874" spans="1:7">
      <c r="A874">
        <v>873</v>
      </c>
      <c r="B874">
        <v>1.6850000000000001</v>
      </c>
      <c r="C874" t="s">
        <v>3</v>
      </c>
      <c r="D874" t="s">
        <v>5</v>
      </c>
      <c r="E874" t="str">
        <f t="shared" si="26"/>
        <v>並</v>
      </c>
      <c r="F874" s="7" t="str">
        <f>IF(A874="","",IF(E874="並","-",HLOOKUP(E874,単価表!$B$1:$D$2,2,FALSE)*B874))</f>
        <v>-</v>
      </c>
      <c r="G874" s="7" t="str">
        <f t="shared" si="27"/>
        <v>-</v>
      </c>
    </row>
    <row r="875" spans="1:7">
      <c r="A875">
        <v>874</v>
      </c>
      <c r="B875">
        <v>1.8360000000000001</v>
      </c>
      <c r="C875" t="s">
        <v>5</v>
      </c>
      <c r="D875" t="s">
        <v>1</v>
      </c>
      <c r="E875" t="str">
        <f t="shared" si="26"/>
        <v>並</v>
      </c>
      <c r="F875" s="7" t="str">
        <f>IF(A875="","",IF(E875="並","-",HLOOKUP(E875,単価表!$B$1:$D$2,2,FALSE)*B875))</f>
        <v>-</v>
      </c>
      <c r="G875" s="7" t="str">
        <f t="shared" si="27"/>
        <v>-</v>
      </c>
    </row>
    <row r="876" spans="1:7">
      <c r="A876">
        <v>875</v>
      </c>
      <c r="B876">
        <v>1.6</v>
      </c>
      <c r="C876" t="s">
        <v>1</v>
      </c>
      <c r="D876" t="s">
        <v>1</v>
      </c>
      <c r="E876" t="str">
        <f t="shared" si="26"/>
        <v>優</v>
      </c>
      <c r="F876" s="7">
        <f>IF(A876="","",IF(E876="並","-",HLOOKUP(E876,単価表!$B$1:$D$2,2,FALSE)*B876))</f>
        <v>2400</v>
      </c>
      <c r="G876" s="7">
        <f t="shared" si="27"/>
        <v>2400</v>
      </c>
    </row>
    <row r="877" spans="1:7">
      <c r="A877">
        <v>876</v>
      </c>
      <c r="B877">
        <v>2.0049999999999999</v>
      </c>
      <c r="C877" t="s">
        <v>5</v>
      </c>
      <c r="D877" t="s">
        <v>5</v>
      </c>
      <c r="E877" t="str">
        <f t="shared" si="26"/>
        <v>並</v>
      </c>
      <c r="F877" s="7" t="str">
        <f>IF(A877="","",IF(E877="並","-",HLOOKUP(E877,単価表!$B$1:$D$2,2,FALSE)*B877))</f>
        <v>-</v>
      </c>
      <c r="G877" s="7" t="str">
        <f t="shared" si="27"/>
        <v>-</v>
      </c>
    </row>
    <row r="878" spans="1:7">
      <c r="A878">
        <v>877</v>
      </c>
      <c r="B878">
        <v>1.149</v>
      </c>
      <c r="C878" t="s">
        <v>3</v>
      </c>
      <c r="D878" t="s">
        <v>5</v>
      </c>
      <c r="E878" t="str">
        <f t="shared" si="26"/>
        <v>並</v>
      </c>
      <c r="F878" s="7" t="str">
        <f>IF(A878="","",IF(E878="並","-",HLOOKUP(E878,単価表!$B$1:$D$2,2,FALSE)*B878))</f>
        <v>-</v>
      </c>
      <c r="G878" s="7" t="str">
        <f t="shared" si="27"/>
        <v>-</v>
      </c>
    </row>
    <row r="879" spans="1:7">
      <c r="A879">
        <v>878</v>
      </c>
      <c r="B879">
        <v>2.3660000000000001</v>
      </c>
      <c r="C879" t="s">
        <v>1</v>
      </c>
      <c r="D879" t="s">
        <v>3</v>
      </c>
      <c r="E879" t="str">
        <f t="shared" si="26"/>
        <v>良</v>
      </c>
      <c r="F879" s="7">
        <f>IF(A879="","",IF(E879="並","-",HLOOKUP(E879,単価表!$B$1:$D$2,2,FALSE)*B879))</f>
        <v>2839.2000000000003</v>
      </c>
      <c r="G879" s="7">
        <f t="shared" si="27"/>
        <v>2850</v>
      </c>
    </row>
    <row r="880" spans="1:7">
      <c r="A880">
        <v>879</v>
      </c>
      <c r="B880">
        <v>2.698</v>
      </c>
      <c r="C880" t="s">
        <v>1</v>
      </c>
      <c r="D880" t="s">
        <v>1</v>
      </c>
      <c r="E880" t="str">
        <f t="shared" si="26"/>
        <v>優</v>
      </c>
      <c r="F880" s="7">
        <f>IF(A880="","",IF(E880="並","-",HLOOKUP(E880,単価表!$B$1:$D$2,2,FALSE)*B880))</f>
        <v>4047</v>
      </c>
      <c r="G880" s="7">
        <f t="shared" si="27"/>
        <v>4050</v>
      </c>
    </row>
    <row r="881" spans="1:7">
      <c r="A881">
        <v>880</v>
      </c>
      <c r="B881">
        <v>2.61</v>
      </c>
      <c r="C881" t="s">
        <v>3</v>
      </c>
      <c r="D881" t="s">
        <v>5</v>
      </c>
      <c r="E881" t="str">
        <f t="shared" si="26"/>
        <v>並</v>
      </c>
      <c r="F881" s="7" t="str">
        <f>IF(A881="","",IF(E881="並","-",HLOOKUP(E881,単価表!$B$1:$D$2,2,FALSE)*B881))</f>
        <v>-</v>
      </c>
      <c r="G881" s="7" t="str">
        <f t="shared" si="27"/>
        <v>-</v>
      </c>
    </row>
    <row r="882" spans="1:7">
      <c r="A882">
        <v>881</v>
      </c>
      <c r="B882">
        <v>1.0489999999999999</v>
      </c>
      <c r="C882" t="s">
        <v>5</v>
      </c>
      <c r="D882" t="s">
        <v>5</v>
      </c>
      <c r="E882" t="str">
        <f t="shared" si="26"/>
        <v>並</v>
      </c>
      <c r="F882" s="7" t="str">
        <f>IF(A882="","",IF(E882="並","-",HLOOKUP(E882,単価表!$B$1:$D$2,2,FALSE)*B882))</f>
        <v>-</v>
      </c>
      <c r="G882" s="7" t="str">
        <f t="shared" si="27"/>
        <v>-</v>
      </c>
    </row>
    <row r="883" spans="1:7">
      <c r="A883">
        <v>882</v>
      </c>
      <c r="B883">
        <v>2.9169999999999998</v>
      </c>
      <c r="C883" t="s">
        <v>5</v>
      </c>
      <c r="D883" t="s">
        <v>1</v>
      </c>
      <c r="E883" t="str">
        <f t="shared" si="26"/>
        <v>並</v>
      </c>
      <c r="F883" s="7" t="str">
        <f>IF(A883="","",IF(E883="並","-",HLOOKUP(E883,単価表!$B$1:$D$2,2,FALSE)*B883))</f>
        <v>-</v>
      </c>
      <c r="G883" s="7" t="str">
        <f t="shared" si="27"/>
        <v>-</v>
      </c>
    </row>
    <row r="884" spans="1:7">
      <c r="A884">
        <v>883</v>
      </c>
      <c r="B884">
        <v>1.958</v>
      </c>
      <c r="C884" t="s">
        <v>5</v>
      </c>
      <c r="D884" t="s">
        <v>3</v>
      </c>
      <c r="E884" t="str">
        <f t="shared" si="26"/>
        <v>並</v>
      </c>
      <c r="F884" s="7" t="str">
        <f>IF(A884="","",IF(E884="並","-",HLOOKUP(E884,単価表!$B$1:$D$2,2,FALSE)*B884))</f>
        <v>-</v>
      </c>
      <c r="G884" s="7" t="str">
        <f t="shared" si="27"/>
        <v>-</v>
      </c>
    </row>
    <row r="885" spans="1:7">
      <c r="A885">
        <v>884</v>
      </c>
      <c r="B885">
        <v>1.952</v>
      </c>
      <c r="C885" t="s">
        <v>5</v>
      </c>
      <c r="D885" t="s">
        <v>5</v>
      </c>
      <c r="E885" t="str">
        <f t="shared" si="26"/>
        <v>並</v>
      </c>
      <c r="F885" s="7" t="str">
        <f>IF(A885="","",IF(E885="並","-",HLOOKUP(E885,単価表!$B$1:$D$2,2,FALSE)*B885))</f>
        <v>-</v>
      </c>
      <c r="G885" s="7" t="str">
        <f t="shared" si="27"/>
        <v>-</v>
      </c>
    </row>
    <row r="886" spans="1:7">
      <c r="A886">
        <v>885</v>
      </c>
      <c r="B886">
        <v>1.944</v>
      </c>
      <c r="C886" t="s">
        <v>5</v>
      </c>
      <c r="D886" t="s">
        <v>1</v>
      </c>
      <c r="E886" t="str">
        <f t="shared" si="26"/>
        <v>並</v>
      </c>
      <c r="F886" s="7" t="str">
        <f>IF(A886="","",IF(E886="並","-",HLOOKUP(E886,単価表!$B$1:$D$2,2,FALSE)*B886))</f>
        <v>-</v>
      </c>
      <c r="G886" s="7" t="str">
        <f t="shared" si="27"/>
        <v>-</v>
      </c>
    </row>
    <row r="887" spans="1:7">
      <c r="A887">
        <v>886</v>
      </c>
      <c r="B887">
        <v>0.99199999999999999</v>
      </c>
      <c r="C887" t="s">
        <v>3</v>
      </c>
      <c r="D887" t="s">
        <v>1</v>
      </c>
      <c r="E887" t="str">
        <f t="shared" si="26"/>
        <v>良</v>
      </c>
      <c r="F887" s="7">
        <f>IF(A887="","",IF(E887="並","-",HLOOKUP(E887,単価表!$B$1:$D$2,2,FALSE)*B887))</f>
        <v>1190.4000000000001</v>
      </c>
      <c r="G887" s="7">
        <f t="shared" si="27"/>
        <v>1200</v>
      </c>
    </row>
    <row r="888" spans="1:7">
      <c r="A888">
        <v>887</v>
      </c>
      <c r="B888">
        <v>0.88700000000000001</v>
      </c>
      <c r="C888" t="s">
        <v>3</v>
      </c>
      <c r="D888" t="s">
        <v>1</v>
      </c>
      <c r="E888" t="str">
        <f t="shared" si="26"/>
        <v>良</v>
      </c>
      <c r="F888" s="7">
        <f>IF(A888="","",IF(E888="並","-",HLOOKUP(E888,単価表!$B$1:$D$2,2,FALSE)*B888))</f>
        <v>1064.4000000000001</v>
      </c>
      <c r="G888" s="7">
        <f t="shared" si="27"/>
        <v>1100</v>
      </c>
    </row>
    <row r="889" spans="1:7">
      <c r="A889">
        <v>888</v>
      </c>
      <c r="B889">
        <v>0.63</v>
      </c>
      <c r="C889" t="s">
        <v>5</v>
      </c>
      <c r="D889" t="s">
        <v>3</v>
      </c>
      <c r="E889" t="str">
        <f t="shared" si="26"/>
        <v>並</v>
      </c>
      <c r="F889" s="7" t="str">
        <f>IF(A889="","",IF(E889="並","-",HLOOKUP(E889,単価表!$B$1:$D$2,2,FALSE)*B889))</f>
        <v>-</v>
      </c>
      <c r="G889" s="7" t="str">
        <f t="shared" si="27"/>
        <v>-</v>
      </c>
    </row>
    <row r="890" spans="1:7">
      <c r="A890">
        <v>889</v>
      </c>
      <c r="B890">
        <v>0.93500000000000005</v>
      </c>
      <c r="C890" t="s">
        <v>3</v>
      </c>
      <c r="D890" t="s">
        <v>3</v>
      </c>
      <c r="E890" t="str">
        <f t="shared" si="26"/>
        <v>良</v>
      </c>
      <c r="F890" s="7">
        <f>IF(A890="","",IF(E890="並","-",HLOOKUP(E890,単価表!$B$1:$D$2,2,FALSE)*B890))</f>
        <v>1122</v>
      </c>
      <c r="G890" s="7">
        <f t="shared" si="27"/>
        <v>1150</v>
      </c>
    </row>
    <row r="891" spans="1:7">
      <c r="A891">
        <v>890</v>
      </c>
      <c r="B891">
        <v>2.3220000000000001</v>
      </c>
      <c r="C891" t="s">
        <v>5</v>
      </c>
      <c r="D891" t="s">
        <v>3</v>
      </c>
      <c r="E891" t="str">
        <f t="shared" si="26"/>
        <v>並</v>
      </c>
      <c r="F891" s="7" t="str">
        <f>IF(A891="","",IF(E891="並","-",HLOOKUP(E891,単価表!$B$1:$D$2,2,FALSE)*B891))</f>
        <v>-</v>
      </c>
      <c r="G891" s="7" t="str">
        <f t="shared" si="27"/>
        <v>-</v>
      </c>
    </row>
    <row r="892" spans="1:7">
      <c r="A892">
        <v>891</v>
      </c>
      <c r="B892">
        <v>0.55600000000000005</v>
      </c>
      <c r="C892" t="s">
        <v>5</v>
      </c>
      <c r="D892" t="s">
        <v>3</v>
      </c>
      <c r="E892" t="str">
        <f t="shared" si="26"/>
        <v>並</v>
      </c>
      <c r="F892" s="7" t="str">
        <f>IF(A892="","",IF(E892="並","-",HLOOKUP(E892,単価表!$B$1:$D$2,2,FALSE)*B892))</f>
        <v>-</v>
      </c>
      <c r="G892" s="7" t="str">
        <f t="shared" si="27"/>
        <v>-</v>
      </c>
    </row>
    <row r="893" spans="1:7">
      <c r="A893">
        <v>892</v>
      </c>
      <c r="B893">
        <v>2.16</v>
      </c>
      <c r="C893" t="s">
        <v>3</v>
      </c>
      <c r="D893" t="s">
        <v>5</v>
      </c>
      <c r="E893" t="str">
        <f t="shared" si="26"/>
        <v>並</v>
      </c>
      <c r="F893" s="7" t="str">
        <f>IF(A893="","",IF(E893="並","-",HLOOKUP(E893,単価表!$B$1:$D$2,2,FALSE)*B893))</f>
        <v>-</v>
      </c>
      <c r="G893" s="7" t="str">
        <f t="shared" si="27"/>
        <v>-</v>
      </c>
    </row>
    <row r="894" spans="1:7">
      <c r="A894">
        <v>893</v>
      </c>
      <c r="B894">
        <v>2.855</v>
      </c>
      <c r="C894" t="s">
        <v>1</v>
      </c>
      <c r="D894" t="s">
        <v>5</v>
      </c>
      <c r="E894" t="str">
        <f t="shared" si="26"/>
        <v>並</v>
      </c>
      <c r="F894" s="7" t="str">
        <f>IF(A894="","",IF(E894="並","-",HLOOKUP(E894,単価表!$B$1:$D$2,2,FALSE)*B894))</f>
        <v>-</v>
      </c>
      <c r="G894" s="7" t="str">
        <f t="shared" si="27"/>
        <v>-</v>
      </c>
    </row>
    <row r="895" spans="1:7">
      <c r="A895">
        <v>894</v>
      </c>
      <c r="B895">
        <v>1.6279999999999999</v>
      </c>
      <c r="C895" t="s">
        <v>3</v>
      </c>
      <c r="D895" t="s">
        <v>5</v>
      </c>
      <c r="E895" t="str">
        <f t="shared" si="26"/>
        <v>並</v>
      </c>
      <c r="F895" s="7" t="str">
        <f>IF(A895="","",IF(E895="並","-",HLOOKUP(E895,単価表!$B$1:$D$2,2,FALSE)*B895))</f>
        <v>-</v>
      </c>
      <c r="G895" s="7" t="str">
        <f t="shared" si="27"/>
        <v>-</v>
      </c>
    </row>
    <row r="896" spans="1:7">
      <c r="A896">
        <v>895</v>
      </c>
      <c r="B896">
        <v>1.601</v>
      </c>
      <c r="C896" t="s">
        <v>5</v>
      </c>
      <c r="D896" t="s">
        <v>1</v>
      </c>
      <c r="E896" t="str">
        <f t="shared" si="26"/>
        <v>並</v>
      </c>
      <c r="F896" s="7" t="str">
        <f>IF(A896="","",IF(E896="並","-",HLOOKUP(E896,単価表!$B$1:$D$2,2,FALSE)*B896))</f>
        <v>-</v>
      </c>
      <c r="G896" s="7" t="str">
        <f t="shared" si="27"/>
        <v>-</v>
      </c>
    </row>
    <row r="897" spans="1:7">
      <c r="A897">
        <v>896</v>
      </c>
      <c r="B897">
        <v>2.093</v>
      </c>
      <c r="C897" t="s">
        <v>5</v>
      </c>
      <c r="D897" t="s">
        <v>1</v>
      </c>
      <c r="E897" t="str">
        <f t="shared" si="26"/>
        <v>並</v>
      </c>
      <c r="F897" s="7" t="str">
        <f>IF(A897="","",IF(E897="並","-",HLOOKUP(E897,単価表!$B$1:$D$2,2,FALSE)*B897))</f>
        <v>-</v>
      </c>
      <c r="G897" s="7" t="str">
        <f t="shared" si="27"/>
        <v>-</v>
      </c>
    </row>
    <row r="898" spans="1:7">
      <c r="A898">
        <v>897</v>
      </c>
      <c r="B898">
        <v>2.8519999999999999</v>
      </c>
      <c r="C898" t="s">
        <v>1</v>
      </c>
      <c r="D898" t="s">
        <v>1</v>
      </c>
      <c r="E898" t="str">
        <f t="shared" si="26"/>
        <v>優</v>
      </c>
      <c r="F898" s="7">
        <f>IF(A898="","",IF(E898="並","-",HLOOKUP(E898,単価表!$B$1:$D$2,2,FALSE)*B898))</f>
        <v>4278</v>
      </c>
      <c r="G898" s="7">
        <f t="shared" si="27"/>
        <v>4300</v>
      </c>
    </row>
    <row r="899" spans="1:7">
      <c r="A899">
        <v>898</v>
      </c>
      <c r="B899">
        <v>2.2149999999999999</v>
      </c>
      <c r="C899" t="s">
        <v>1</v>
      </c>
      <c r="D899" t="s">
        <v>1</v>
      </c>
      <c r="E899" t="str">
        <f t="shared" ref="E899:E962" si="28">IF(A899="","",IF(OR(C899="並",D899="並"),"並",IF(OR(C899="良",D899="良"),"良","優")))</f>
        <v>優</v>
      </c>
      <c r="F899" s="7">
        <f>IF(A899="","",IF(E899="並","-",HLOOKUP(E899,単価表!$B$1:$D$2,2,FALSE)*B899))</f>
        <v>3322.5</v>
      </c>
      <c r="G899" s="7">
        <f t="shared" si="27"/>
        <v>3350</v>
      </c>
    </row>
    <row r="900" spans="1:7">
      <c r="A900">
        <v>899</v>
      </c>
      <c r="B900">
        <v>2.1989999999999998</v>
      </c>
      <c r="C900" t="s">
        <v>3</v>
      </c>
      <c r="D900" t="s">
        <v>1</v>
      </c>
      <c r="E900" t="str">
        <f t="shared" si="28"/>
        <v>良</v>
      </c>
      <c r="F900" s="7">
        <f>IF(A900="","",IF(E900="並","-",HLOOKUP(E900,単価表!$B$1:$D$2,2,FALSE)*B900))</f>
        <v>2638.7999999999997</v>
      </c>
      <c r="G900" s="7">
        <f t="shared" ref="G900:G963" si="29">IF(A900="","",IF(E900="並","-",ROUNDUP(F900/50,0)*50))</f>
        <v>2650</v>
      </c>
    </row>
    <row r="901" spans="1:7">
      <c r="A901">
        <v>900</v>
      </c>
      <c r="B901">
        <v>2.8439999999999999</v>
      </c>
      <c r="C901" t="s">
        <v>5</v>
      </c>
      <c r="D901" t="s">
        <v>3</v>
      </c>
      <c r="E901" t="str">
        <f t="shared" si="28"/>
        <v>並</v>
      </c>
      <c r="F901" s="7" t="str">
        <f>IF(A901="","",IF(E901="並","-",HLOOKUP(E901,単価表!$B$1:$D$2,2,FALSE)*B901))</f>
        <v>-</v>
      </c>
      <c r="G901" s="7" t="str">
        <f t="shared" si="29"/>
        <v>-</v>
      </c>
    </row>
    <row r="902" spans="1:7">
      <c r="A902">
        <v>901</v>
      </c>
      <c r="B902">
        <v>2.1579999999999999</v>
      </c>
      <c r="C902" t="s">
        <v>3</v>
      </c>
      <c r="D902" t="s">
        <v>5</v>
      </c>
      <c r="E902" t="str">
        <f t="shared" si="28"/>
        <v>並</v>
      </c>
      <c r="F902" s="7" t="str">
        <f>IF(A902="","",IF(E902="並","-",HLOOKUP(E902,単価表!$B$1:$D$2,2,FALSE)*B902))</f>
        <v>-</v>
      </c>
      <c r="G902" s="7" t="str">
        <f t="shared" si="29"/>
        <v>-</v>
      </c>
    </row>
    <row r="903" spans="1:7">
      <c r="A903">
        <v>902</v>
      </c>
      <c r="B903">
        <v>2.3199999999999998</v>
      </c>
      <c r="C903" t="s">
        <v>3</v>
      </c>
      <c r="D903" t="s">
        <v>5</v>
      </c>
      <c r="E903" t="str">
        <f t="shared" si="28"/>
        <v>並</v>
      </c>
      <c r="F903" s="7" t="str">
        <f>IF(A903="","",IF(E903="並","-",HLOOKUP(E903,単価表!$B$1:$D$2,2,FALSE)*B903))</f>
        <v>-</v>
      </c>
      <c r="G903" s="7" t="str">
        <f t="shared" si="29"/>
        <v>-</v>
      </c>
    </row>
    <row r="904" spans="1:7">
      <c r="A904">
        <v>903</v>
      </c>
      <c r="B904">
        <v>2.2519999999999998</v>
      </c>
      <c r="C904" t="s">
        <v>1</v>
      </c>
      <c r="D904" t="s">
        <v>5</v>
      </c>
      <c r="E904" t="str">
        <f t="shared" si="28"/>
        <v>並</v>
      </c>
      <c r="F904" s="7" t="str">
        <f>IF(A904="","",IF(E904="並","-",HLOOKUP(E904,単価表!$B$1:$D$2,2,FALSE)*B904))</f>
        <v>-</v>
      </c>
      <c r="G904" s="7" t="str">
        <f t="shared" si="29"/>
        <v>-</v>
      </c>
    </row>
    <row r="905" spans="1:7">
      <c r="A905">
        <v>904</v>
      </c>
      <c r="B905">
        <v>2.5299999999999998</v>
      </c>
      <c r="C905" t="s">
        <v>3</v>
      </c>
      <c r="D905" t="s">
        <v>5</v>
      </c>
      <c r="E905" t="str">
        <f t="shared" si="28"/>
        <v>並</v>
      </c>
      <c r="F905" s="7" t="str">
        <f>IF(A905="","",IF(E905="並","-",HLOOKUP(E905,単価表!$B$1:$D$2,2,FALSE)*B905))</f>
        <v>-</v>
      </c>
      <c r="G905" s="7" t="str">
        <f t="shared" si="29"/>
        <v>-</v>
      </c>
    </row>
    <row r="906" spans="1:7">
      <c r="A906">
        <v>905</v>
      </c>
      <c r="B906">
        <v>0.75700000000000001</v>
      </c>
      <c r="C906" t="s">
        <v>5</v>
      </c>
      <c r="D906" t="s">
        <v>3</v>
      </c>
      <c r="E906" t="str">
        <f t="shared" si="28"/>
        <v>並</v>
      </c>
      <c r="F906" s="7" t="str">
        <f>IF(A906="","",IF(E906="並","-",HLOOKUP(E906,単価表!$B$1:$D$2,2,FALSE)*B906))</f>
        <v>-</v>
      </c>
      <c r="G906" s="7" t="str">
        <f t="shared" si="29"/>
        <v>-</v>
      </c>
    </row>
    <row r="907" spans="1:7">
      <c r="A907">
        <v>906</v>
      </c>
      <c r="B907">
        <v>2.4649999999999999</v>
      </c>
      <c r="C907" t="s">
        <v>1</v>
      </c>
      <c r="D907" t="s">
        <v>5</v>
      </c>
      <c r="E907" t="str">
        <f t="shared" si="28"/>
        <v>並</v>
      </c>
      <c r="F907" s="7" t="str">
        <f>IF(A907="","",IF(E907="並","-",HLOOKUP(E907,単価表!$B$1:$D$2,2,FALSE)*B907))</f>
        <v>-</v>
      </c>
      <c r="G907" s="7" t="str">
        <f t="shared" si="29"/>
        <v>-</v>
      </c>
    </row>
    <row r="908" spans="1:7">
      <c r="A908">
        <v>907</v>
      </c>
      <c r="B908">
        <v>0.95799999999999996</v>
      </c>
      <c r="C908" t="s">
        <v>3</v>
      </c>
      <c r="D908" t="s">
        <v>1</v>
      </c>
      <c r="E908" t="str">
        <f t="shared" si="28"/>
        <v>良</v>
      </c>
      <c r="F908" s="7">
        <f>IF(A908="","",IF(E908="並","-",HLOOKUP(E908,単価表!$B$1:$D$2,2,FALSE)*B908))</f>
        <v>1149.5999999999999</v>
      </c>
      <c r="G908" s="7">
        <f t="shared" si="29"/>
        <v>1150</v>
      </c>
    </row>
    <row r="909" spans="1:7">
      <c r="A909">
        <v>908</v>
      </c>
      <c r="B909">
        <v>2.9020000000000001</v>
      </c>
      <c r="C909" t="s">
        <v>5</v>
      </c>
      <c r="D909" t="s">
        <v>3</v>
      </c>
      <c r="E909" t="str">
        <f t="shared" si="28"/>
        <v>並</v>
      </c>
      <c r="F909" s="7" t="str">
        <f>IF(A909="","",IF(E909="並","-",HLOOKUP(E909,単価表!$B$1:$D$2,2,FALSE)*B909))</f>
        <v>-</v>
      </c>
      <c r="G909" s="7" t="str">
        <f t="shared" si="29"/>
        <v>-</v>
      </c>
    </row>
    <row r="910" spans="1:7">
      <c r="A910">
        <v>909</v>
      </c>
      <c r="B910">
        <v>2.1019999999999999</v>
      </c>
      <c r="C910" t="s">
        <v>1</v>
      </c>
      <c r="D910" t="s">
        <v>1</v>
      </c>
      <c r="E910" t="str">
        <f t="shared" si="28"/>
        <v>優</v>
      </c>
      <c r="F910" s="7">
        <f>IF(A910="","",IF(E910="並","-",HLOOKUP(E910,単価表!$B$1:$D$2,2,FALSE)*B910))</f>
        <v>3153</v>
      </c>
      <c r="G910" s="7">
        <f t="shared" si="29"/>
        <v>3200</v>
      </c>
    </row>
    <row r="911" spans="1:7">
      <c r="A911">
        <v>910</v>
      </c>
      <c r="B911">
        <v>2.9609999999999999</v>
      </c>
      <c r="C911" t="s">
        <v>3</v>
      </c>
      <c r="D911" t="s">
        <v>1</v>
      </c>
      <c r="E911" t="str">
        <f t="shared" si="28"/>
        <v>良</v>
      </c>
      <c r="F911" s="7">
        <f>IF(A911="","",IF(E911="並","-",HLOOKUP(E911,単価表!$B$1:$D$2,2,FALSE)*B911))</f>
        <v>3553.2</v>
      </c>
      <c r="G911" s="7">
        <f t="shared" si="29"/>
        <v>3600</v>
      </c>
    </row>
    <row r="912" spans="1:7">
      <c r="A912">
        <v>911</v>
      </c>
      <c r="B912">
        <v>1.6779999999999999</v>
      </c>
      <c r="C912" t="s">
        <v>1</v>
      </c>
      <c r="D912" t="s">
        <v>3</v>
      </c>
      <c r="E912" t="str">
        <f t="shared" si="28"/>
        <v>良</v>
      </c>
      <c r="F912" s="7">
        <f>IF(A912="","",IF(E912="並","-",HLOOKUP(E912,単価表!$B$1:$D$2,2,FALSE)*B912))</f>
        <v>2013.6</v>
      </c>
      <c r="G912" s="7">
        <f t="shared" si="29"/>
        <v>2050</v>
      </c>
    </row>
    <row r="913" spans="1:7">
      <c r="A913">
        <v>912</v>
      </c>
      <c r="B913">
        <v>0.95799999999999996</v>
      </c>
      <c r="C913" t="s">
        <v>5</v>
      </c>
      <c r="D913" t="s">
        <v>5</v>
      </c>
      <c r="E913" t="str">
        <f t="shared" si="28"/>
        <v>並</v>
      </c>
      <c r="F913" s="7" t="str">
        <f>IF(A913="","",IF(E913="並","-",HLOOKUP(E913,単価表!$B$1:$D$2,2,FALSE)*B913))</f>
        <v>-</v>
      </c>
      <c r="G913" s="7" t="str">
        <f t="shared" si="29"/>
        <v>-</v>
      </c>
    </row>
    <row r="914" spans="1:7">
      <c r="A914">
        <v>913</v>
      </c>
      <c r="B914">
        <v>2.7879999999999998</v>
      </c>
      <c r="C914" t="s">
        <v>3</v>
      </c>
      <c r="D914" t="s">
        <v>5</v>
      </c>
      <c r="E914" t="str">
        <f t="shared" si="28"/>
        <v>並</v>
      </c>
      <c r="F914" s="7" t="str">
        <f>IF(A914="","",IF(E914="並","-",HLOOKUP(E914,単価表!$B$1:$D$2,2,FALSE)*B914))</f>
        <v>-</v>
      </c>
      <c r="G914" s="7" t="str">
        <f t="shared" si="29"/>
        <v>-</v>
      </c>
    </row>
    <row r="915" spans="1:7">
      <c r="A915">
        <v>914</v>
      </c>
      <c r="B915">
        <v>2.411</v>
      </c>
      <c r="C915" t="s">
        <v>5</v>
      </c>
      <c r="D915" t="s">
        <v>3</v>
      </c>
      <c r="E915" t="str">
        <f t="shared" si="28"/>
        <v>並</v>
      </c>
      <c r="F915" s="7" t="str">
        <f>IF(A915="","",IF(E915="並","-",HLOOKUP(E915,単価表!$B$1:$D$2,2,FALSE)*B915))</f>
        <v>-</v>
      </c>
      <c r="G915" s="7" t="str">
        <f t="shared" si="29"/>
        <v>-</v>
      </c>
    </row>
    <row r="916" spans="1:7">
      <c r="A916">
        <v>915</v>
      </c>
      <c r="B916">
        <v>2.5150000000000001</v>
      </c>
      <c r="C916" t="s">
        <v>5</v>
      </c>
      <c r="D916" t="s">
        <v>5</v>
      </c>
      <c r="E916" t="str">
        <f t="shared" si="28"/>
        <v>並</v>
      </c>
      <c r="F916" s="7" t="str">
        <f>IF(A916="","",IF(E916="並","-",HLOOKUP(E916,単価表!$B$1:$D$2,2,FALSE)*B916))</f>
        <v>-</v>
      </c>
      <c r="G916" s="7" t="str">
        <f t="shared" si="29"/>
        <v>-</v>
      </c>
    </row>
    <row r="917" spans="1:7">
      <c r="A917">
        <v>916</v>
      </c>
      <c r="B917">
        <v>1.2010000000000001</v>
      </c>
      <c r="C917" t="s">
        <v>5</v>
      </c>
      <c r="D917" t="s">
        <v>5</v>
      </c>
      <c r="E917" t="str">
        <f t="shared" si="28"/>
        <v>並</v>
      </c>
      <c r="F917" s="7" t="str">
        <f>IF(A917="","",IF(E917="並","-",HLOOKUP(E917,単価表!$B$1:$D$2,2,FALSE)*B917))</f>
        <v>-</v>
      </c>
      <c r="G917" s="7" t="str">
        <f t="shared" si="29"/>
        <v>-</v>
      </c>
    </row>
    <row r="918" spans="1:7">
      <c r="A918">
        <v>917</v>
      </c>
      <c r="B918">
        <v>2.37</v>
      </c>
      <c r="C918" t="s">
        <v>1</v>
      </c>
      <c r="D918" t="s">
        <v>1</v>
      </c>
      <c r="E918" t="str">
        <f t="shared" si="28"/>
        <v>優</v>
      </c>
      <c r="F918" s="7">
        <f>IF(A918="","",IF(E918="並","-",HLOOKUP(E918,単価表!$B$1:$D$2,2,FALSE)*B918))</f>
        <v>3555</v>
      </c>
      <c r="G918" s="7">
        <f t="shared" si="29"/>
        <v>3600</v>
      </c>
    </row>
    <row r="919" spans="1:7">
      <c r="A919">
        <v>918</v>
      </c>
      <c r="B919">
        <v>2.8620000000000001</v>
      </c>
      <c r="C919" t="s">
        <v>3</v>
      </c>
      <c r="D919" t="s">
        <v>5</v>
      </c>
      <c r="E919" t="str">
        <f t="shared" si="28"/>
        <v>並</v>
      </c>
      <c r="F919" s="7" t="str">
        <f>IF(A919="","",IF(E919="並","-",HLOOKUP(E919,単価表!$B$1:$D$2,2,FALSE)*B919))</f>
        <v>-</v>
      </c>
      <c r="G919" s="7" t="str">
        <f t="shared" si="29"/>
        <v>-</v>
      </c>
    </row>
    <row r="920" spans="1:7">
      <c r="A920">
        <v>919</v>
      </c>
      <c r="B920">
        <v>1.2749999999999999</v>
      </c>
      <c r="C920" t="s">
        <v>3</v>
      </c>
      <c r="D920" t="s">
        <v>3</v>
      </c>
      <c r="E920" t="str">
        <f t="shared" si="28"/>
        <v>良</v>
      </c>
      <c r="F920" s="7">
        <f>IF(A920="","",IF(E920="並","-",HLOOKUP(E920,単価表!$B$1:$D$2,2,FALSE)*B920))</f>
        <v>1530</v>
      </c>
      <c r="G920" s="7">
        <f t="shared" si="29"/>
        <v>1550</v>
      </c>
    </row>
    <row r="921" spans="1:7">
      <c r="A921">
        <v>920</v>
      </c>
      <c r="B921">
        <v>1.6080000000000001</v>
      </c>
      <c r="C921" t="s">
        <v>1</v>
      </c>
      <c r="D921" t="s">
        <v>1</v>
      </c>
      <c r="E921" t="str">
        <f t="shared" si="28"/>
        <v>優</v>
      </c>
      <c r="F921" s="7">
        <f>IF(A921="","",IF(E921="並","-",HLOOKUP(E921,単価表!$B$1:$D$2,2,FALSE)*B921))</f>
        <v>2412</v>
      </c>
      <c r="G921" s="7">
        <f t="shared" si="29"/>
        <v>2450</v>
      </c>
    </row>
    <row r="922" spans="1:7">
      <c r="A922">
        <v>921</v>
      </c>
      <c r="B922">
        <v>2.202</v>
      </c>
      <c r="C922" t="s">
        <v>5</v>
      </c>
      <c r="D922" t="s">
        <v>5</v>
      </c>
      <c r="E922" t="str">
        <f t="shared" si="28"/>
        <v>並</v>
      </c>
      <c r="F922" s="7" t="str">
        <f>IF(A922="","",IF(E922="並","-",HLOOKUP(E922,単価表!$B$1:$D$2,2,FALSE)*B922))</f>
        <v>-</v>
      </c>
      <c r="G922" s="7" t="str">
        <f t="shared" si="29"/>
        <v>-</v>
      </c>
    </row>
    <row r="923" spans="1:7">
      <c r="A923">
        <v>922</v>
      </c>
      <c r="B923">
        <v>2.5019999999999998</v>
      </c>
      <c r="C923" t="s">
        <v>1</v>
      </c>
      <c r="D923" t="s">
        <v>3</v>
      </c>
      <c r="E923" t="str">
        <f t="shared" si="28"/>
        <v>良</v>
      </c>
      <c r="F923" s="7">
        <f>IF(A923="","",IF(E923="並","-",HLOOKUP(E923,単価表!$B$1:$D$2,2,FALSE)*B923))</f>
        <v>3002.3999999999996</v>
      </c>
      <c r="G923" s="7">
        <f t="shared" si="29"/>
        <v>3050</v>
      </c>
    </row>
    <row r="924" spans="1:7">
      <c r="A924">
        <v>923</v>
      </c>
      <c r="B924">
        <v>0.52800000000000002</v>
      </c>
      <c r="C924" t="s">
        <v>3</v>
      </c>
      <c r="D924" t="s">
        <v>1</v>
      </c>
      <c r="E924" t="str">
        <f t="shared" si="28"/>
        <v>良</v>
      </c>
      <c r="F924" s="7">
        <f>IF(A924="","",IF(E924="並","-",HLOOKUP(E924,単価表!$B$1:$D$2,2,FALSE)*B924))</f>
        <v>633.6</v>
      </c>
      <c r="G924" s="7">
        <f t="shared" si="29"/>
        <v>650</v>
      </c>
    </row>
    <row r="925" spans="1:7">
      <c r="A925">
        <v>924</v>
      </c>
      <c r="B925">
        <v>2.6890000000000001</v>
      </c>
      <c r="C925" t="s">
        <v>1</v>
      </c>
      <c r="D925" t="s">
        <v>5</v>
      </c>
      <c r="E925" t="str">
        <f t="shared" si="28"/>
        <v>並</v>
      </c>
      <c r="F925" s="7" t="str">
        <f>IF(A925="","",IF(E925="並","-",HLOOKUP(E925,単価表!$B$1:$D$2,2,FALSE)*B925))</f>
        <v>-</v>
      </c>
      <c r="G925" s="7" t="str">
        <f t="shared" si="29"/>
        <v>-</v>
      </c>
    </row>
    <row r="926" spans="1:7">
      <c r="A926">
        <v>925</v>
      </c>
      <c r="B926">
        <v>1.6279999999999999</v>
      </c>
      <c r="C926" t="s">
        <v>5</v>
      </c>
      <c r="D926" t="s">
        <v>1</v>
      </c>
      <c r="E926" t="str">
        <f t="shared" si="28"/>
        <v>並</v>
      </c>
      <c r="F926" s="7" t="str">
        <f>IF(A926="","",IF(E926="並","-",HLOOKUP(E926,単価表!$B$1:$D$2,2,FALSE)*B926))</f>
        <v>-</v>
      </c>
      <c r="G926" s="7" t="str">
        <f t="shared" si="29"/>
        <v>-</v>
      </c>
    </row>
    <row r="927" spans="1:7">
      <c r="A927">
        <v>926</v>
      </c>
      <c r="B927">
        <v>1.643</v>
      </c>
      <c r="C927" t="s">
        <v>1</v>
      </c>
      <c r="D927" t="s">
        <v>1</v>
      </c>
      <c r="E927" t="str">
        <f t="shared" si="28"/>
        <v>優</v>
      </c>
      <c r="F927" s="7">
        <f>IF(A927="","",IF(E927="並","-",HLOOKUP(E927,単価表!$B$1:$D$2,2,FALSE)*B927))</f>
        <v>2464.5</v>
      </c>
      <c r="G927" s="7">
        <f t="shared" si="29"/>
        <v>2500</v>
      </c>
    </row>
    <row r="928" spans="1:7">
      <c r="A928">
        <v>927</v>
      </c>
      <c r="B928">
        <v>2.8809999999999998</v>
      </c>
      <c r="C928" t="s">
        <v>1</v>
      </c>
      <c r="D928" t="s">
        <v>3</v>
      </c>
      <c r="E928" t="str">
        <f t="shared" si="28"/>
        <v>良</v>
      </c>
      <c r="F928" s="7">
        <f>IF(A928="","",IF(E928="並","-",HLOOKUP(E928,単価表!$B$1:$D$2,2,FALSE)*B928))</f>
        <v>3457.2</v>
      </c>
      <c r="G928" s="7">
        <f t="shared" si="29"/>
        <v>3500</v>
      </c>
    </row>
    <row r="929" spans="1:7">
      <c r="A929">
        <v>928</v>
      </c>
      <c r="B929">
        <v>1.625</v>
      </c>
      <c r="C929" t="s">
        <v>3</v>
      </c>
      <c r="D929" t="s">
        <v>1</v>
      </c>
      <c r="E929" t="str">
        <f t="shared" si="28"/>
        <v>良</v>
      </c>
      <c r="F929" s="7">
        <f>IF(A929="","",IF(E929="並","-",HLOOKUP(E929,単価表!$B$1:$D$2,2,FALSE)*B929))</f>
        <v>1950</v>
      </c>
      <c r="G929" s="7">
        <f t="shared" si="29"/>
        <v>1950</v>
      </c>
    </row>
    <row r="930" spans="1:7">
      <c r="A930">
        <v>929</v>
      </c>
      <c r="B930">
        <v>0.85099999999999998</v>
      </c>
      <c r="C930" t="s">
        <v>5</v>
      </c>
      <c r="D930" t="s">
        <v>5</v>
      </c>
      <c r="E930" t="str">
        <f t="shared" si="28"/>
        <v>並</v>
      </c>
      <c r="F930" s="7" t="str">
        <f>IF(A930="","",IF(E930="並","-",HLOOKUP(E930,単価表!$B$1:$D$2,2,FALSE)*B930))</f>
        <v>-</v>
      </c>
      <c r="G930" s="7" t="str">
        <f t="shared" si="29"/>
        <v>-</v>
      </c>
    </row>
    <row r="931" spans="1:7">
      <c r="A931">
        <v>930</v>
      </c>
      <c r="B931">
        <v>1.0289999999999999</v>
      </c>
      <c r="C931" t="s">
        <v>1</v>
      </c>
      <c r="D931" t="s">
        <v>5</v>
      </c>
      <c r="E931" t="str">
        <f t="shared" si="28"/>
        <v>並</v>
      </c>
      <c r="F931" s="7" t="str">
        <f>IF(A931="","",IF(E931="並","-",HLOOKUP(E931,単価表!$B$1:$D$2,2,FALSE)*B931))</f>
        <v>-</v>
      </c>
      <c r="G931" s="7" t="str">
        <f t="shared" si="29"/>
        <v>-</v>
      </c>
    </row>
    <row r="932" spans="1:7">
      <c r="A932">
        <v>931</v>
      </c>
      <c r="B932">
        <v>1.595</v>
      </c>
      <c r="C932" t="s">
        <v>3</v>
      </c>
      <c r="D932" t="s">
        <v>1</v>
      </c>
      <c r="E932" t="str">
        <f t="shared" si="28"/>
        <v>良</v>
      </c>
      <c r="F932" s="7">
        <f>IF(A932="","",IF(E932="並","-",HLOOKUP(E932,単価表!$B$1:$D$2,2,FALSE)*B932))</f>
        <v>1914</v>
      </c>
      <c r="G932" s="7">
        <f t="shared" si="29"/>
        <v>1950</v>
      </c>
    </row>
    <row r="933" spans="1:7">
      <c r="A933">
        <v>932</v>
      </c>
      <c r="B933">
        <v>2.5990000000000002</v>
      </c>
      <c r="C933" t="s">
        <v>5</v>
      </c>
      <c r="D933" t="s">
        <v>3</v>
      </c>
      <c r="E933" t="str">
        <f t="shared" si="28"/>
        <v>並</v>
      </c>
      <c r="F933" s="7" t="str">
        <f>IF(A933="","",IF(E933="並","-",HLOOKUP(E933,単価表!$B$1:$D$2,2,FALSE)*B933))</f>
        <v>-</v>
      </c>
      <c r="G933" s="7" t="str">
        <f t="shared" si="29"/>
        <v>-</v>
      </c>
    </row>
    <row r="934" spans="1:7">
      <c r="A934">
        <v>933</v>
      </c>
      <c r="B934">
        <v>2.7160000000000002</v>
      </c>
      <c r="C934" t="s">
        <v>5</v>
      </c>
      <c r="D934" t="s">
        <v>3</v>
      </c>
      <c r="E934" t="str">
        <f t="shared" si="28"/>
        <v>並</v>
      </c>
      <c r="F934" s="7" t="str">
        <f>IF(A934="","",IF(E934="並","-",HLOOKUP(E934,単価表!$B$1:$D$2,2,FALSE)*B934))</f>
        <v>-</v>
      </c>
      <c r="G934" s="7" t="str">
        <f t="shared" si="29"/>
        <v>-</v>
      </c>
    </row>
    <row r="935" spans="1:7">
      <c r="A935">
        <v>934</v>
      </c>
      <c r="B935">
        <v>1.1459999999999999</v>
      </c>
      <c r="C935" t="s">
        <v>3</v>
      </c>
      <c r="D935" t="s">
        <v>3</v>
      </c>
      <c r="E935" t="str">
        <f t="shared" si="28"/>
        <v>良</v>
      </c>
      <c r="F935" s="7">
        <f>IF(A935="","",IF(E935="並","-",HLOOKUP(E935,単価表!$B$1:$D$2,2,FALSE)*B935))</f>
        <v>1375.1999999999998</v>
      </c>
      <c r="G935" s="7">
        <f t="shared" si="29"/>
        <v>1400</v>
      </c>
    </row>
    <row r="936" spans="1:7">
      <c r="A936">
        <v>935</v>
      </c>
      <c r="B936">
        <v>2.7309999999999999</v>
      </c>
      <c r="C936" t="s">
        <v>5</v>
      </c>
      <c r="D936" t="s">
        <v>1</v>
      </c>
      <c r="E936" t="str">
        <f t="shared" si="28"/>
        <v>並</v>
      </c>
      <c r="F936" s="7" t="str">
        <f>IF(A936="","",IF(E936="並","-",HLOOKUP(E936,単価表!$B$1:$D$2,2,FALSE)*B936))</f>
        <v>-</v>
      </c>
      <c r="G936" s="7" t="str">
        <f t="shared" si="29"/>
        <v>-</v>
      </c>
    </row>
    <row r="937" spans="1:7">
      <c r="A937">
        <v>936</v>
      </c>
      <c r="B937">
        <v>1.081</v>
      </c>
      <c r="C937" t="s">
        <v>3</v>
      </c>
      <c r="D937" t="s">
        <v>1</v>
      </c>
      <c r="E937" t="str">
        <f t="shared" si="28"/>
        <v>良</v>
      </c>
      <c r="F937" s="7">
        <f>IF(A937="","",IF(E937="並","-",HLOOKUP(E937,単価表!$B$1:$D$2,2,FALSE)*B937))</f>
        <v>1297.2</v>
      </c>
      <c r="G937" s="7">
        <f t="shared" si="29"/>
        <v>1300</v>
      </c>
    </row>
    <row r="938" spans="1:7">
      <c r="A938">
        <v>937</v>
      </c>
      <c r="B938">
        <v>1.556</v>
      </c>
      <c r="C938" t="s">
        <v>3</v>
      </c>
      <c r="D938" t="s">
        <v>5</v>
      </c>
      <c r="E938" t="str">
        <f t="shared" si="28"/>
        <v>並</v>
      </c>
      <c r="F938" s="7" t="str">
        <f>IF(A938="","",IF(E938="並","-",HLOOKUP(E938,単価表!$B$1:$D$2,2,FALSE)*B938))</f>
        <v>-</v>
      </c>
      <c r="G938" s="7" t="str">
        <f t="shared" si="29"/>
        <v>-</v>
      </c>
    </row>
    <row r="939" spans="1:7">
      <c r="A939">
        <v>938</v>
      </c>
      <c r="B939">
        <v>2.3010000000000002</v>
      </c>
      <c r="C939" t="s">
        <v>3</v>
      </c>
      <c r="D939" t="s">
        <v>3</v>
      </c>
      <c r="E939" t="str">
        <f t="shared" si="28"/>
        <v>良</v>
      </c>
      <c r="F939" s="7">
        <f>IF(A939="","",IF(E939="並","-",HLOOKUP(E939,単価表!$B$1:$D$2,2,FALSE)*B939))</f>
        <v>2761.2000000000003</v>
      </c>
      <c r="G939" s="7">
        <f t="shared" si="29"/>
        <v>2800</v>
      </c>
    </row>
    <row r="940" spans="1:7">
      <c r="A940">
        <v>939</v>
      </c>
      <c r="B940">
        <v>2.8250000000000002</v>
      </c>
      <c r="C940" t="s">
        <v>5</v>
      </c>
      <c r="D940" t="s">
        <v>1</v>
      </c>
      <c r="E940" t="str">
        <f t="shared" si="28"/>
        <v>並</v>
      </c>
      <c r="F940" s="7" t="str">
        <f>IF(A940="","",IF(E940="並","-",HLOOKUP(E940,単価表!$B$1:$D$2,2,FALSE)*B940))</f>
        <v>-</v>
      </c>
      <c r="G940" s="7" t="str">
        <f t="shared" si="29"/>
        <v>-</v>
      </c>
    </row>
    <row r="941" spans="1:7">
      <c r="A941">
        <v>940</v>
      </c>
      <c r="B941">
        <v>2.125</v>
      </c>
      <c r="C941" t="s">
        <v>3</v>
      </c>
      <c r="D941" t="s">
        <v>5</v>
      </c>
      <c r="E941" t="str">
        <f t="shared" si="28"/>
        <v>並</v>
      </c>
      <c r="F941" s="7" t="str">
        <f>IF(A941="","",IF(E941="並","-",HLOOKUP(E941,単価表!$B$1:$D$2,2,FALSE)*B941))</f>
        <v>-</v>
      </c>
      <c r="G941" s="7" t="str">
        <f t="shared" si="29"/>
        <v>-</v>
      </c>
    </row>
    <row r="942" spans="1:7">
      <c r="A942">
        <v>941</v>
      </c>
      <c r="B942">
        <v>2.786</v>
      </c>
      <c r="C942" t="s">
        <v>1</v>
      </c>
      <c r="D942" t="s">
        <v>3</v>
      </c>
      <c r="E942" t="str">
        <f t="shared" si="28"/>
        <v>良</v>
      </c>
      <c r="F942" s="7">
        <f>IF(A942="","",IF(E942="並","-",HLOOKUP(E942,単価表!$B$1:$D$2,2,FALSE)*B942))</f>
        <v>3343.2</v>
      </c>
      <c r="G942" s="7">
        <f t="shared" si="29"/>
        <v>3350</v>
      </c>
    </row>
    <row r="943" spans="1:7">
      <c r="A943">
        <v>942</v>
      </c>
      <c r="B943">
        <v>1.5549999999999999</v>
      </c>
      <c r="C943" t="s">
        <v>5</v>
      </c>
      <c r="D943" t="s">
        <v>3</v>
      </c>
      <c r="E943" t="str">
        <f t="shared" si="28"/>
        <v>並</v>
      </c>
      <c r="F943" s="7" t="str">
        <f>IF(A943="","",IF(E943="並","-",HLOOKUP(E943,単価表!$B$1:$D$2,2,FALSE)*B943))</f>
        <v>-</v>
      </c>
      <c r="G943" s="7" t="str">
        <f t="shared" si="29"/>
        <v>-</v>
      </c>
    </row>
    <row r="944" spans="1:7">
      <c r="A944">
        <v>943</v>
      </c>
      <c r="B944">
        <v>1.0649999999999999</v>
      </c>
      <c r="C944" t="s">
        <v>1</v>
      </c>
      <c r="D944" t="s">
        <v>3</v>
      </c>
      <c r="E944" t="str">
        <f t="shared" si="28"/>
        <v>良</v>
      </c>
      <c r="F944" s="7">
        <f>IF(A944="","",IF(E944="並","-",HLOOKUP(E944,単価表!$B$1:$D$2,2,FALSE)*B944))</f>
        <v>1278</v>
      </c>
      <c r="G944" s="7">
        <f t="shared" si="29"/>
        <v>1300</v>
      </c>
    </row>
    <row r="945" spans="1:7">
      <c r="A945">
        <v>944</v>
      </c>
      <c r="B945">
        <v>1.7629999999999999</v>
      </c>
      <c r="C945" t="s">
        <v>5</v>
      </c>
      <c r="D945" t="s">
        <v>5</v>
      </c>
      <c r="E945" t="str">
        <f t="shared" si="28"/>
        <v>並</v>
      </c>
      <c r="F945" s="7" t="str">
        <f>IF(A945="","",IF(E945="並","-",HLOOKUP(E945,単価表!$B$1:$D$2,2,FALSE)*B945))</f>
        <v>-</v>
      </c>
      <c r="G945" s="7" t="str">
        <f t="shared" si="29"/>
        <v>-</v>
      </c>
    </row>
    <row r="946" spans="1:7">
      <c r="A946">
        <v>945</v>
      </c>
      <c r="B946">
        <v>2.5</v>
      </c>
      <c r="C946" t="s">
        <v>1</v>
      </c>
      <c r="D946" t="s">
        <v>3</v>
      </c>
      <c r="E946" t="str">
        <f t="shared" si="28"/>
        <v>良</v>
      </c>
      <c r="F946" s="7">
        <f>IF(A946="","",IF(E946="並","-",HLOOKUP(E946,単価表!$B$1:$D$2,2,FALSE)*B946))</f>
        <v>3000</v>
      </c>
      <c r="G946" s="7">
        <f t="shared" si="29"/>
        <v>3000</v>
      </c>
    </row>
    <row r="947" spans="1:7">
      <c r="A947">
        <v>946</v>
      </c>
      <c r="B947">
        <v>1.2709999999999999</v>
      </c>
      <c r="C947" t="s">
        <v>5</v>
      </c>
      <c r="D947" t="s">
        <v>1</v>
      </c>
      <c r="E947" t="str">
        <f t="shared" si="28"/>
        <v>並</v>
      </c>
      <c r="F947" s="7" t="str">
        <f>IF(A947="","",IF(E947="並","-",HLOOKUP(E947,単価表!$B$1:$D$2,2,FALSE)*B947))</f>
        <v>-</v>
      </c>
      <c r="G947" s="7" t="str">
        <f t="shared" si="29"/>
        <v>-</v>
      </c>
    </row>
    <row r="948" spans="1:7">
      <c r="A948">
        <v>947</v>
      </c>
      <c r="B948">
        <v>2.92</v>
      </c>
      <c r="C948" t="s">
        <v>1</v>
      </c>
      <c r="D948" t="s">
        <v>1</v>
      </c>
      <c r="E948" t="str">
        <f t="shared" si="28"/>
        <v>優</v>
      </c>
      <c r="F948" s="7">
        <f>IF(A948="","",IF(E948="並","-",HLOOKUP(E948,単価表!$B$1:$D$2,2,FALSE)*B948))</f>
        <v>4380</v>
      </c>
      <c r="G948" s="7">
        <f t="shared" si="29"/>
        <v>4400</v>
      </c>
    </row>
    <row r="949" spans="1:7">
      <c r="A949">
        <v>948</v>
      </c>
      <c r="B949">
        <v>1.355</v>
      </c>
      <c r="C949" t="s">
        <v>5</v>
      </c>
      <c r="D949" t="s">
        <v>3</v>
      </c>
      <c r="E949" t="str">
        <f t="shared" si="28"/>
        <v>並</v>
      </c>
      <c r="F949" s="7" t="str">
        <f>IF(A949="","",IF(E949="並","-",HLOOKUP(E949,単価表!$B$1:$D$2,2,FALSE)*B949))</f>
        <v>-</v>
      </c>
      <c r="G949" s="7" t="str">
        <f t="shared" si="29"/>
        <v>-</v>
      </c>
    </row>
    <row r="950" spans="1:7">
      <c r="A950">
        <v>949</v>
      </c>
      <c r="B950">
        <v>1.542</v>
      </c>
      <c r="C950" t="s">
        <v>1</v>
      </c>
      <c r="D950" t="s">
        <v>5</v>
      </c>
      <c r="E950" t="str">
        <f t="shared" si="28"/>
        <v>並</v>
      </c>
      <c r="F950" s="7" t="str">
        <f>IF(A950="","",IF(E950="並","-",HLOOKUP(E950,単価表!$B$1:$D$2,2,FALSE)*B950))</f>
        <v>-</v>
      </c>
      <c r="G950" s="7" t="str">
        <f t="shared" si="29"/>
        <v>-</v>
      </c>
    </row>
    <row r="951" spans="1:7">
      <c r="A951">
        <v>950</v>
      </c>
      <c r="B951">
        <v>2.968</v>
      </c>
      <c r="C951" t="s">
        <v>1</v>
      </c>
      <c r="D951" t="s">
        <v>5</v>
      </c>
      <c r="E951" t="str">
        <f t="shared" si="28"/>
        <v>並</v>
      </c>
      <c r="F951" s="7" t="str">
        <f>IF(A951="","",IF(E951="並","-",HLOOKUP(E951,単価表!$B$1:$D$2,2,FALSE)*B951))</f>
        <v>-</v>
      </c>
      <c r="G951" s="7" t="str">
        <f t="shared" si="29"/>
        <v>-</v>
      </c>
    </row>
    <row r="952" spans="1:7">
      <c r="A952">
        <v>951</v>
      </c>
      <c r="B952">
        <v>2.177</v>
      </c>
      <c r="C952" t="s">
        <v>1</v>
      </c>
      <c r="D952" t="s">
        <v>5</v>
      </c>
      <c r="E952" t="str">
        <f t="shared" si="28"/>
        <v>並</v>
      </c>
      <c r="F952" s="7" t="str">
        <f>IF(A952="","",IF(E952="並","-",HLOOKUP(E952,単価表!$B$1:$D$2,2,FALSE)*B952))</f>
        <v>-</v>
      </c>
      <c r="G952" s="7" t="str">
        <f t="shared" si="29"/>
        <v>-</v>
      </c>
    </row>
    <row r="953" spans="1:7">
      <c r="A953">
        <v>952</v>
      </c>
      <c r="B953">
        <v>2.1040000000000001</v>
      </c>
      <c r="C953" t="s">
        <v>3</v>
      </c>
      <c r="D953" t="s">
        <v>3</v>
      </c>
      <c r="E953" t="str">
        <f t="shared" si="28"/>
        <v>良</v>
      </c>
      <c r="F953" s="7">
        <f>IF(A953="","",IF(E953="並","-",HLOOKUP(E953,単価表!$B$1:$D$2,2,FALSE)*B953))</f>
        <v>2524.8000000000002</v>
      </c>
      <c r="G953" s="7">
        <f t="shared" si="29"/>
        <v>2550</v>
      </c>
    </row>
    <row r="954" spans="1:7">
      <c r="A954">
        <v>953</v>
      </c>
      <c r="B954">
        <v>2.5070000000000001</v>
      </c>
      <c r="C954" t="s">
        <v>3</v>
      </c>
      <c r="D954" t="s">
        <v>5</v>
      </c>
      <c r="E954" t="str">
        <f t="shared" si="28"/>
        <v>並</v>
      </c>
      <c r="F954" s="7" t="str">
        <f>IF(A954="","",IF(E954="並","-",HLOOKUP(E954,単価表!$B$1:$D$2,2,FALSE)*B954))</f>
        <v>-</v>
      </c>
      <c r="G954" s="7" t="str">
        <f t="shared" si="29"/>
        <v>-</v>
      </c>
    </row>
    <row r="955" spans="1:7">
      <c r="A955">
        <v>954</v>
      </c>
      <c r="B955">
        <v>2.75</v>
      </c>
      <c r="C955" t="s">
        <v>5</v>
      </c>
      <c r="D955" t="s">
        <v>3</v>
      </c>
      <c r="E955" t="str">
        <f t="shared" si="28"/>
        <v>並</v>
      </c>
      <c r="F955" s="7" t="str">
        <f>IF(A955="","",IF(E955="並","-",HLOOKUP(E955,単価表!$B$1:$D$2,2,FALSE)*B955))</f>
        <v>-</v>
      </c>
      <c r="G955" s="7" t="str">
        <f t="shared" si="29"/>
        <v>-</v>
      </c>
    </row>
    <row r="956" spans="1:7">
      <c r="A956">
        <v>955</v>
      </c>
      <c r="B956">
        <v>0.68700000000000006</v>
      </c>
      <c r="C956" t="s">
        <v>5</v>
      </c>
      <c r="D956" t="s">
        <v>5</v>
      </c>
      <c r="E956" t="str">
        <f t="shared" si="28"/>
        <v>並</v>
      </c>
      <c r="F956" s="7" t="str">
        <f>IF(A956="","",IF(E956="並","-",HLOOKUP(E956,単価表!$B$1:$D$2,2,FALSE)*B956))</f>
        <v>-</v>
      </c>
      <c r="G956" s="7" t="str">
        <f t="shared" si="29"/>
        <v>-</v>
      </c>
    </row>
    <row r="957" spans="1:7">
      <c r="A957">
        <v>956</v>
      </c>
      <c r="B957">
        <v>2.5819999999999999</v>
      </c>
      <c r="C957" t="s">
        <v>3</v>
      </c>
      <c r="D957" t="s">
        <v>3</v>
      </c>
      <c r="E957" t="str">
        <f t="shared" si="28"/>
        <v>良</v>
      </c>
      <c r="F957" s="7">
        <f>IF(A957="","",IF(E957="並","-",HLOOKUP(E957,単価表!$B$1:$D$2,2,FALSE)*B957))</f>
        <v>3098.3999999999996</v>
      </c>
      <c r="G957" s="7">
        <f t="shared" si="29"/>
        <v>3100</v>
      </c>
    </row>
    <row r="958" spans="1:7">
      <c r="A958">
        <v>957</v>
      </c>
      <c r="B958">
        <v>2.2690000000000001</v>
      </c>
      <c r="C958" t="s">
        <v>3</v>
      </c>
      <c r="D958" t="s">
        <v>5</v>
      </c>
      <c r="E958" t="str">
        <f t="shared" si="28"/>
        <v>並</v>
      </c>
      <c r="F958" s="7" t="str">
        <f>IF(A958="","",IF(E958="並","-",HLOOKUP(E958,単価表!$B$1:$D$2,2,FALSE)*B958))</f>
        <v>-</v>
      </c>
      <c r="G958" s="7" t="str">
        <f t="shared" si="29"/>
        <v>-</v>
      </c>
    </row>
    <row r="959" spans="1:7">
      <c r="A959">
        <v>958</v>
      </c>
      <c r="B959">
        <v>0.93799999999999994</v>
      </c>
      <c r="C959" t="s">
        <v>5</v>
      </c>
      <c r="D959" t="s">
        <v>3</v>
      </c>
      <c r="E959" t="str">
        <f t="shared" si="28"/>
        <v>並</v>
      </c>
      <c r="F959" s="7" t="str">
        <f>IF(A959="","",IF(E959="並","-",HLOOKUP(E959,単価表!$B$1:$D$2,2,FALSE)*B959))</f>
        <v>-</v>
      </c>
      <c r="G959" s="7" t="str">
        <f t="shared" si="29"/>
        <v>-</v>
      </c>
    </row>
    <row r="960" spans="1:7">
      <c r="A960">
        <v>959</v>
      </c>
      <c r="B960">
        <v>1.788</v>
      </c>
      <c r="C960" t="s">
        <v>1</v>
      </c>
      <c r="D960" t="s">
        <v>3</v>
      </c>
      <c r="E960" t="str">
        <f t="shared" si="28"/>
        <v>良</v>
      </c>
      <c r="F960" s="7">
        <f>IF(A960="","",IF(E960="並","-",HLOOKUP(E960,単価表!$B$1:$D$2,2,FALSE)*B960))</f>
        <v>2145.6</v>
      </c>
      <c r="G960" s="7">
        <f t="shared" si="29"/>
        <v>2150</v>
      </c>
    </row>
    <row r="961" spans="1:7">
      <c r="A961">
        <v>960</v>
      </c>
      <c r="B961">
        <v>2.234</v>
      </c>
      <c r="C961" t="s">
        <v>5</v>
      </c>
      <c r="D961" t="s">
        <v>1</v>
      </c>
      <c r="E961" t="str">
        <f t="shared" si="28"/>
        <v>並</v>
      </c>
      <c r="F961" s="7" t="str">
        <f>IF(A961="","",IF(E961="並","-",HLOOKUP(E961,単価表!$B$1:$D$2,2,FALSE)*B961))</f>
        <v>-</v>
      </c>
      <c r="G961" s="7" t="str">
        <f t="shared" si="29"/>
        <v>-</v>
      </c>
    </row>
    <row r="962" spans="1:7">
      <c r="A962">
        <v>961</v>
      </c>
      <c r="B962">
        <v>1.982</v>
      </c>
      <c r="C962" t="s">
        <v>1</v>
      </c>
      <c r="D962" t="s">
        <v>3</v>
      </c>
      <c r="E962" t="str">
        <f t="shared" si="28"/>
        <v>良</v>
      </c>
      <c r="F962" s="7">
        <f>IF(A962="","",IF(E962="並","-",HLOOKUP(E962,単価表!$B$1:$D$2,2,FALSE)*B962))</f>
        <v>2378.4</v>
      </c>
      <c r="G962" s="7">
        <f t="shared" si="29"/>
        <v>2400</v>
      </c>
    </row>
    <row r="963" spans="1:7">
      <c r="A963">
        <v>962</v>
      </c>
      <c r="B963">
        <v>1.169</v>
      </c>
      <c r="C963" t="s">
        <v>5</v>
      </c>
      <c r="D963" t="s">
        <v>3</v>
      </c>
      <c r="E963" t="str">
        <f t="shared" ref="E963:E1001" si="30">IF(A963="","",IF(OR(C963="並",D963="並"),"並",IF(OR(C963="良",D963="良"),"良","優")))</f>
        <v>並</v>
      </c>
      <c r="F963" s="7" t="str">
        <f>IF(A963="","",IF(E963="並","-",HLOOKUP(E963,単価表!$B$1:$D$2,2,FALSE)*B963))</f>
        <v>-</v>
      </c>
      <c r="G963" s="7" t="str">
        <f t="shared" si="29"/>
        <v>-</v>
      </c>
    </row>
    <row r="964" spans="1:7">
      <c r="A964">
        <v>963</v>
      </c>
      <c r="B964">
        <v>1.18</v>
      </c>
      <c r="C964" t="s">
        <v>1</v>
      </c>
      <c r="D964" t="s">
        <v>5</v>
      </c>
      <c r="E964" t="str">
        <f t="shared" si="30"/>
        <v>並</v>
      </c>
      <c r="F964" s="7" t="str">
        <f>IF(A964="","",IF(E964="並","-",HLOOKUP(E964,単価表!$B$1:$D$2,2,FALSE)*B964))</f>
        <v>-</v>
      </c>
      <c r="G964" s="7" t="str">
        <f t="shared" ref="G964:G1001" si="31">IF(A964="","",IF(E964="並","-",ROUNDUP(F964/50,0)*50))</f>
        <v>-</v>
      </c>
    </row>
    <row r="965" spans="1:7">
      <c r="A965">
        <v>964</v>
      </c>
      <c r="B965">
        <v>0.70799999999999996</v>
      </c>
      <c r="C965" t="s">
        <v>5</v>
      </c>
      <c r="D965" t="s">
        <v>1</v>
      </c>
      <c r="E965" t="str">
        <f t="shared" si="30"/>
        <v>並</v>
      </c>
      <c r="F965" s="7" t="str">
        <f>IF(A965="","",IF(E965="並","-",HLOOKUP(E965,単価表!$B$1:$D$2,2,FALSE)*B965))</f>
        <v>-</v>
      </c>
      <c r="G965" s="7" t="str">
        <f t="shared" si="31"/>
        <v>-</v>
      </c>
    </row>
    <row r="966" spans="1:7">
      <c r="A966">
        <v>965</v>
      </c>
      <c r="B966">
        <v>1.9330000000000001</v>
      </c>
      <c r="C966" t="s">
        <v>5</v>
      </c>
      <c r="D966" t="s">
        <v>1</v>
      </c>
      <c r="E966" t="str">
        <f t="shared" si="30"/>
        <v>並</v>
      </c>
      <c r="F966" s="7" t="str">
        <f>IF(A966="","",IF(E966="並","-",HLOOKUP(E966,単価表!$B$1:$D$2,2,FALSE)*B966))</f>
        <v>-</v>
      </c>
      <c r="G966" s="7" t="str">
        <f t="shared" si="31"/>
        <v>-</v>
      </c>
    </row>
    <row r="967" spans="1:7">
      <c r="A967">
        <v>966</v>
      </c>
      <c r="B967">
        <v>1.8360000000000001</v>
      </c>
      <c r="C967" t="s">
        <v>1</v>
      </c>
      <c r="D967" t="s">
        <v>1</v>
      </c>
      <c r="E967" t="str">
        <f t="shared" si="30"/>
        <v>優</v>
      </c>
      <c r="F967" s="7">
        <f>IF(A967="","",IF(E967="並","-",HLOOKUP(E967,単価表!$B$1:$D$2,2,FALSE)*B967))</f>
        <v>2754</v>
      </c>
      <c r="G967" s="7">
        <f t="shared" si="31"/>
        <v>2800</v>
      </c>
    </row>
    <row r="968" spans="1:7">
      <c r="A968">
        <v>967</v>
      </c>
      <c r="B968">
        <v>0.90300000000000002</v>
      </c>
      <c r="C968" t="s">
        <v>5</v>
      </c>
      <c r="D968" t="s">
        <v>5</v>
      </c>
      <c r="E968" t="str">
        <f t="shared" si="30"/>
        <v>並</v>
      </c>
      <c r="F968" s="7" t="str">
        <f>IF(A968="","",IF(E968="並","-",HLOOKUP(E968,単価表!$B$1:$D$2,2,FALSE)*B968))</f>
        <v>-</v>
      </c>
      <c r="G968" s="7" t="str">
        <f t="shared" si="31"/>
        <v>-</v>
      </c>
    </row>
    <row r="969" spans="1:7">
      <c r="A969">
        <v>968</v>
      </c>
      <c r="B969">
        <v>2.5190000000000001</v>
      </c>
      <c r="C969" t="s">
        <v>3</v>
      </c>
      <c r="D969" t="s">
        <v>5</v>
      </c>
      <c r="E969" t="str">
        <f t="shared" si="30"/>
        <v>並</v>
      </c>
      <c r="F969" s="7" t="str">
        <f>IF(A969="","",IF(E969="並","-",HLOOKUP(E969,単価表!$B$1:$D$2,2,FALSE)*B969))</f>
        <v>-</v>
      </c>
      <c r="G969" s="7" t="str">
        <f t="shared" si="31"/>
        <v>-</v>
      </c>
    </row>
    <row r="970" spans="1:7">
      <c r="A970">
        <v>969</v>
      </c>
      <c r="B970">
        <v>2.5049999999999999</v>
      </c>
      <c r="C970" t="s">
        <v>1</v>
      </c>
      <c r="D970" t="s">
        <v>1</v>
      </c>
      <c r="E970" t="str">
        <f t="shared" si="30"/>
        <v>優</v>
      </c>
      <c r="F970" s="7">
        <f>IF(A970="","",IF(E970="並","-",HLOOKUP(E970,単価表!$B$1:$D$2,2,FALSE)*B970))</f>
        <v>3757.5</v>
      </c>
      <c r="G970" s="7">
        <f t="shared" si="31"/>
        <v>3800</v>
      </c>
    </row>
    <row r="971" spans="1:7">
      <c r="A971">
        <v>970</v>
      </c>
      <c r="B971">
        <v>1.62</v>
      </c>
      <c r="C971" t="s">
        <v>5</v>
      </c>
      <c r="D971" t="s">
        <v>5</v>
      </c>
      <c r="E971" t="str">
        <f t="shared" si="30"/>
        <v>並</v>
      </c>
      <c r="F971" s="7" t="str">
        <f>IF(A971="","",IF(E971="並","-",HLOOKUP(E971,単価表!$B$1:$D$2,2,FALSE)*B971))</f>
        <v>-</v>
      </c>
      <c r="G971" s="7" t="str">
        <f t="shared" si="31"/>
        <v>-</v>
      </c>
    </row>
    <row r="972" spans="1:7">
      <c r="A972">
        <v>971</v>
      </c>
      <c r="B972">
        <v>2.4580000000000002</v>
      </c>
      <c r="C972" t="s">
        <v>1</v>
      </c>
      <c r="D972" t="s">
        <v>1</v>
      </c>
      <c r="E972" t="str">
        <f t="shared" si="30"/>
        <v>優</v>
      </c>
      <c r="F972" s="7">
        <f>IF(A972="","",IF(E972="並","-",HLOOKUP(E972,単価表!$B$1:$D$2,2,FALSE)*B972))</f>
        <v>3687.0000000000005</v>
      </c>
      <c r="G972" s="7">
        <f t="shared" si="31"/>
        <v>3700</v>
      </c>
    </row>
    <row r="973" spans="1:7">
      <c r="A973">
        <v>972</v>
      </c>
      <c r="B973">
        <v>2.4049999999999998</v>
      </c>
      <c r="C973" t="s">
        <v>1</v>
      </c>
      <c r="D973" t="s">
        <v>3</v>
      </c>
      <c r="E973" t="str">
        <f t="shared" si="30"/>
        <v>良</v>
      </c>
      <c r="F973" s="7">
        <f>IF(A973="","",IF(E973="並","-",HLOOKUP(E973,単価表!$B$1:$D$2,2,FALSE)*B973))</f>
        <v>2885.9999999999995</v>
      </c>
      <c r="G973" s="7">
        <f t="shared" si="31"/>
        <v>2900</v>
      </c>
    </row>
    <row r="974" spans="1:7">
      <c r="A974">
        <v>973</v>
      </c>
      <c r="B974">
        <v>1.1299999999999999</v>
      </c>
      <c r="C974" t="s">
        <v>3</v>
      </c>
      <c r="D974" t="s">
        <v>3</v>
      </c>
      <c r="E974" t="str">
        <f t="shared" si="30"/>
        <v>良</v>
      </c>
      <c r="F974" s="7">
        <f>IF(A974="","",IF(E974="並","-",HLOOKUP(E974,単価表!$B$1:$D$2,2,FALSE)*B974))</f>
        <v>1355.9999999999998</v>
      </c>
      <c r="G974" s="7">
        <f t="shared" si="31"/>
        <v>1400</v>
      </c>
    </row>
    <row r="975" spans="1:7">
      <c r="A975">
        <v>974</v>
      </c>
      <c r="B975">
        <v>2.46</v>
      </c>
      <c r="C975" t="s">
        <v>1</v>
      </c>
      <c r="D975" t="s">
        <v>3</v>
      </c>
      <c r="E975" t="str">
        <f t="shared" si="30"/>
        <v>良</v>
      </c>
      <c r="F975" s="7">
        <f>IF(A975="","",IF(E975="並","-",HLOOKUP(E975,単価表!$B$1:$D$2,2,FALSE)*B975))</f>
        <v>2952</v>
      </c>
      <c r="G975" s="7">
        <f t="shared" si="31"/>
        <v>3000</v>
      </c>
    </row>
    <row r="976" spans="1:7">
      <c r="A976">
        <v>975</v>
      </c>
      <c r="B976">
        <v>1.9359999999999999</v>
      </c>
      <c r="C976" t="s">
        <v>1</v>
      </c>
      <c r="D976" t="s">
        <v>3</v>
      </c>
      <c r="E976" t="str">
        <f t="shared" si="30"/>
        <v>良</v>
      </c>
      <c r="F976" s="7">
        <f>IF(A976="","",IF(E976="並","-",HLOOKUP(E976,単価表!$B$1:$D$2,2,FALSE)*B976))</f>
        <v>2323.1999999999998</v>
      </c>
      <c r="G976" s="7">
        <f t="shared" si="31"/>
        <v>2350</v>
      </c>
    </row>
    <row r="977" spans="1:7">
      <c r="A977">
        <v>976</v>
      </c>
      <c r="B977">
        <v>1.23</v>
      </c>
      <c r="C977" t="s">
        <v>1</v>
      </c>
      <c r="D977" t="s">
        <v>5</v>
      </c>
      <c r="E977" t="str">
        <f t="shared" si="30"/>
        <v>並</v>
      </c>
      <c r="F977" s="7" t="str">
        <f>IF(A977="","",IF(E977="並","-",HLOOKUP(E977,単価表!$B$1:$D$2,2,FALSE)*B977))</f>
        <v>-</v>
      </c>
      <c r="G977" s="7" t="str">
        <f t="shared" si="31"/>
        <v>-</v>
      </c>
    </row>
    <row r="978" spans="1:7">
      <c r="A978">
        <v>977</v>
      </c>
      <c r="B978">
        <v>2.4910000000000001</v>
      </c>
      <c r="C978" t="s">
        <v>5</v>
      </c>
      <c r="D978" t="s">
        <v>5</v>
      </c>
      <c r="E978" t="str">
        <f t="shared" si="30"/>
        <v>並</v>
      </c>
      <c r="F978" s="7" t="str">
        <f>IF(A978="","",IF(E978="並","-",HLOOKUP(E978,単価表!$B$1:$D$2,2,FALSE)*B978))</f>
        <v>-</v>
      </c>
      <c r="G978" s="7" t="str">
        <f t="shared" si="31"/>
        <v>-</v>
      </c>
    </row>
    <row r="979" spans="1:7">
      <c r="A979">
        <v>978</v>
      </c>
      <c r="B979">
        <v>1.2350000000000001</v>
      </c>
      <c r="C979" t="s">
        <v>5</v>
      </c>
      <c r="D979" t="s">
        <v>3</v>
      </c>
      <c r="E979" t="str">
        <f t="shared" si="30"/>
        <v>並</v>
      </c>
      <c r="F979" s="7" t="str">
        <f>IF(A979="","",IF(E979="並","-",HLOOKUP(E979,単価表!$B$1:$D$2,2,FALSE)*B979))</f>
        <v>-</v>
      </c>
      <c r="G979" s="7" t="str">
        <f t="shared" si="31"/>
        <v>-</v>
      </c>
    </row>
    <row r="980" spans="1:7">
      <c r="A980">
        <v>979</v>
      </c>
      <c r="B980">
        <v>2.9129999999999998</v>
      </c>
      <c r="C980" t="s">
        <v>3</v>
      </c>
      <c r="D980" t="s">
        <v>1</v>
      </c>
      <c r="E980" t="str">
        <f t="shared" si="30"/>
        <v>良</v>
      </c>
      <c r="F980" s="7">
        <f>IF(A980="","",IF(E980="並","-",HLOOKUP(E980,単価表!$B$1:$D$2,2,FALSE)*B980))</f>
        <v>3495.6</v>
      </c>
      <c r="G980" s="7">
        <f t="shared" si="31"/>
        <v>3500</v>
      </c>
    </row>
    <row r="981" spans="1:7">
      <c r="A981">
        <v>980</v>
      </c>
      <c r="B981">
        <v>2.508</v>
      </c>
      <c r="C981" t="s">
        <v>1</v>
      </c>
      <c r="D981" t="s">
        <v>5</v>
      </c>
      <c r="E981" t="str">
        <f t="shared" si="30"/>
        <v>並</v>
      </c>
      <c r="F981" s="7" t="str">
        <f>IF(A981="","",IF(E981="並","-",HLOOKUP(E981,単価表!$B$1:$D$2,2,FALSE)*B981))</f>
        <v>-</v>
      </c>
      <c r="G981" s="7" t="str">
        <f t="shared" si="31"/>
        <v>-</v>
      </c>
    </row>
    <row r="982" spans="1:7">
      <c r="A982">
        <v>981</v>
      </c>
      <c r="B982">
        <v>1.446</v>
      </c>
      <c r="C982" t="s">
        <v>1</v>
      </c>
      <c r="D982" t="s">
        <v>5</v>
      </c>
      <c r="E982" t="str">
        <f t="shared" si="30"/>
        <v>並</v>
      </c>
      <c r="F982" s="7" t="str">
        <f>IF(A982="","",IF(E982="並","-",HLOOKUP(E982,単価表!$B$1:$D$2,2,FALSE)*B982))</f>
        <v>-</v>
      </c>
      <c r="G982" s="7" t="str">
        <f t="shared" si="31"/>
        <v>-</v>
      </c>
    </row>
    <row r="983" spans="1:7">
      <c r="A983">
        <v>982</v>
      </c>
      <c r="B983">
        <v>2.5710000000000002</v>
      </c>
      <c r="C983" t="s">
        <v>5</v>
      </c>
      <c r="D983" t="s">
        <v>1</v>
      </c>
      <c r="E983" t="str">
        <f t="shared" si="30"/>
        <v>並</v>
      </c>
      <c r="F983" s="7" t="str">
        <f>IF(A983="","",IF(E983="並","-",HLOOKUP(E983,単価表!$B$1:$D$2,2,FALSE)*B983))</f>
        <v>-</v>
      </c>
      <c r="G983" s="7" t="str">
        <f t="shared" si="31"/>
        <v>-</v>
      </c>
    </row>
    <row r="984" spans="1:7">
      <c r="A984">
        <v>983</v>
      </c>
      <c r="B984">
        <v>2.5830000000000002</v>
      </c>
      <c r="C984" t="s">
        <v>1</v>
      </c>
      <c r="D984" t="s">
        <v>3</v>
      </c>
      <c r="E984" t="str">
        <f t="shared" si="30"/>
        <v>良</v>
      </c>
      <c r="F984" s="7">
        <f>IF(A984="","",IF(E984="並","-",HLOOKUP(E984,単価表!$B$1:$D$2,2,FALSE)*B984))</f>
        <v>3099.6000000000004</v>
      </c>
      <c r="G984" s="7">
        <f t="shared" si="31"/>
        <v>3100</v>
      </c>
    </row>
    <row r="985" spans="1:7">
      <c r="A985">
        <v>984</v>
      </c>
      <c r="B985">
        <v>2.4140000000000001</v>
      </c>
      <c r="C985" t="s">
        <v>1</v>
      </c>
      <c r="D985" t="s">
        <v>5</v>
      </c>
      <c r="E985" t="str">
        <f t="shared" si="30"/>
        <v>並</v>
      </c>
      <c r="F985" s="7" t="str">
        <f>IF(A985="","",IF(E985="並","-",HLOOKUP(E985,単価表!$B$1:$D$2,2,FALSE)*B985))</f>
        <v>-</v>
      </c>
      <c r="G985" s="7" t="str">
        <f t="shared" si="31"/>
        <v>-</v>
      </c>
    </row>
    <row r="986" spans="1:7">
      <c r="A986">
        <v>985</v>
      </c>
      <c r="B986">
        <v>2.6629999999999998</v>
      </c>
      <c r="C986" t="s">
        <v>5</v>
      </c>
      <c r="D986" t="s">
        <v>3</v>
      </c>
      <c r="E986" t="str">
        <f t="shared" si="30"/>
        <v>並</v>
      </c>
      <c r="F986" s="7" t="str">
        <f>IF(A986="","",IF(E986="並","-",HLOOKUP(E986,単価表!$B$1:$D$2,2,FALSE)*B986))</f>
        <v>-</v>
      </c>
      <c r="G986" s="7" t="str">
        <f t="shared" si="31"/>
        <v>-</v>
      </c>
    </row>
    <row r="987" spans="1:7">
      <c r="A987">
        <v>986</v>
      </c>
      <c r="B987">
        <v>1.615</v>
      </c>
      <c r="C987" t="s">
        <v>5</v>
      </c>
      <c r="D987" t="s">
        <v>1</v>
      </c>
      <c r="E987" t="str">
        <f t="shared" si="30"/>
        <v>並</v>
      </c>
      <c r="F987" s="7" t="str">
        <f>IF(A987="","",IF(E987="並","-",HLOOKUP(E987,単価表!$B$1:$D$2,2,FALSE)*B987))</f>
        <v>-</v>
      </c>
      <c r="G987" s="7" t="str">
        <f t="shared" si="31"/>
        <v>-</v>
      </c>
    </row>
    <row r="988" spans="1:7">
      <c r="A988">
        <v>987</v>
      </c>
      <c r="B988">
        <v>2.9209999999999998</v>
      </c>
      <c r="C988" t="s">
        <v>5</v>
      </c>
      <c r="D988" t="s">
        <v>1</v>
      </c>
      <c r="E988" t="str">
        <f t="shared" si="30"/>
        <v>並</v>
      </c>
      <c r="F988" s="7" t="str">
        <f>IF(A988="","",IF(E988="並","-",HLOOKUP(E988,単価表!$B$1:$D$2,2,FALSE)*B988))</f>
        <v>-</v>
      </c>
      <c r="G988" s="7" t="str">
        <f t="shared" si="31"/>
        <v>-</v>
      </c>
    </row>
    <row r="989" spans="1:7">
      <c r="A989">
        <v>988</v>
      </c>
      <c r="B989">
        <v>2.6840000000000002</v>
      </c>
      <c r="C989" t="s">
        <v>1</v>
      </c>
      <c r="D989" t="s">
        <v>5</v>
      </c>
      <c r="E989" t="str">
        <f t="shared" si="30"/>
        <v>並</v>
      </c>
      <c r="F989" s="7" t="str">
        <f>IF(A989="","",IF(E989="並","-",HLOOKUP(E989,単価表!$B$1:$D$2,2,FALSE)*B989))</f>
        <v>-</v>
      </c>
      <c r="G989" s="7" t="str">
        <f t="shared" si="31"/>
        <v>-</v>
      </c>
    </row>
    <row r="990" spans="1:7">
      <c r="A990">
        <v>989</v>
      </c>
      <c r="B990">
        <v>2.4390000000000001</v>
      </c>
      <c r="C990" t="s">
        <v>5</v>
      </c>
      <c r="D990" t="s">
        <v>5</v>
      </c>
      <c r="E990" t="str">
        <f t="shared" si="30"/>
        <v>並</v>
      </c>
      <c r="F990" s="7" t="str">
        <f>IF(A990="","",IF(E990="並","-",HLOOKUP(E990,単価表!$B$1:$D$2,2,FALSE)*B990))</f>
        <v>-</v>
      </c>
      <c r="G990" s="7" t="str">
        <f t="shared" si="31"/>
        <v>-</v>
      </c>
    </row>
    <row r="991" spans="1:7">
      <c r="A991">
        <v>990</v>
      </c>
      <c r="B991">
        <v>2.9630000000000001</v>
      </c>
      <c r="C991" t="s">
        <v>5</v>
      </c>
      <c r="D991" t="s">
        <v>5</v>
      </c>
      <c r="E991" t="str">
        <f t="shared" si="30"/>
        <v>並</v>
      </c>
      <c r="F991" s="7" t="str">
        <f>IF(A991="","",IF(E991="並","-",HLOOKUP(E991,単価表!$B$1:$D$2,2,FALSE)*B991))</f>
        <v>-</v>
      </c>
      <c r="G991" s="7" t="str">
        <f t="shared" si="31"/>
        <v>-</v>
      </c>
    </row>
    <row r="992" spans="1:7">
      <c r="A992">
        <v>991</v>
      </c>
      <c r="B992">
        <v>1.1919999999999999</v>
      </c>
      <c r="C992" t="s">
        <v>3</v>
      </c>
      <c r="D992" t="s">
        <v>5</v>
      </c>
      <c r="E992" t="str">
        <f t="shared" si="30"/>
        <v>並</v>
      </c>
      <c r="F992" s="7" t="str">
        <f>IF(A992="","",IF(E992="並","-",HLOOKUP(E992,単価表!$B$1:$D$2,2,FALSE)*B992))</f>
        <v>-</v>
      </c>
      <c r="G992" s="7" t="str">
        <f t="shared" si="31"/>
        <v>-</v>
      </c>
    </row>
    <row r="993" spans="1:7">
      <c r="A993">
        <v>992</v>
      </c>
      <c r="B993">
        <v>2.1160000000000001</v>
      </c>
      <c r="C993" t="s">
        <v>3</v>
      </c>
      <c r="D993" t="s">
        <v>3</v>
      </c>
      <c r="E993" t="str">
        <f t="shared" si="30"/>
        <v>良</v>
      </c>
      <c r="F993" s="7">
        <f>IF(A993="","",IF(E993="並","-",HLOOKUP(E993,単価表!$B$1:$D$2,2,FALSE)*B993))</f>
        <v>2539.2000000000003</v>
      </c>
      <c r="G993" s="7">
        <f t="shared" si="31"/>
        <v>2550</v>
      </c>
    </row>
    <row r="994" spans="1:7">
      <c r="A994">
        <v>993</v>
      </c>
      <c r="B994">
        <v>1.42</v>
      </c>
      <c r="C994" t="s">
        <v>5</v>
      </c>
      <c r="D994" t="s">
        <v>1</v>
      </c>
      <c r="E994" t="str">
        <f t="shared" si="30"/>
        <v>並</v>
      </c>
      <c r="F994" s="7" t="str">
        <f>IF(A994="","",IF(E994="並","-",HLOOKUP(E994,単価表!$B$1:$D$2,2,FALSE)*B994))</f>
        <v>-</v>
      </c>
      <c r="G994" s="7" t="str">
        <f t="shared" si="31"/>
        <v>-</v>
      </c>
    </row>
    <row r="995" spans="1:7">
      <c r="A995">
        <v>994</v>
      </c>
      <c r="B995">
        <v>1.5669999999999999</v>
      </c>
      <c r="C995" t="s">
        <v>1</v>
      </c>
      <c r="D995" t="s">
        <v>1</v>
      </c>
      <c r="E995" t="str">
        <f t="shared" si="30"/>
        <v>優</v>
      </c>
      <c r="F995" s="7">
        <f>IF(A995="","",IF(E995="並","-",HLOOKUP(E995,単価表!$B$1:$D$2,2,FALSE)*B995))</f>
        <v>2350.5</v>
      </c>
      <c r="G995" s="7">
        <f t="shared" si="31"/>
        <v>2400</v>
      </c>
    </row>
    <row r="996" spans="1:7">
      <c r="A996">
        <v>995</v>
      </c>
      <c r="B996">
        <v>2.2669999999999999</v>
      </c>
      <c r="C996" t="s">
        <v>1</v>
      </c>
      <c r="D996" t="s">
        <v>5</v>
      </c>
      <c r="E996" t="str">
        <f t="shared" si="30"/>
        <v>並</v>
      </c>
      <c r="F996" s="7" t="str">
        <f>IF(A996="","",IF(E996="並","-",HLOOKUP(E996,単価表!$B$1:$D$2,2,FALSE)*B996))</f>
        <v>-</v>
      </c>
      <c r="G996" s="7" t="str">
        <f t="shared" si="31"/>
        <v>-</v>
      </c>
    </row>
    <row r="997" spans="1:7">
      <c r="A997">
        <v>996</v>
      </c>
      <c r="B997">
        <v>1.0900000000000001</v>
      </c>
      <c r="C997" t="s">
        <v>5</v>
      </c>
      <c r="D997" t="s">
        <v>1</v>
      </c>
      <c r="E997" t="str">
        <f t="shared" si="30"/>
        <v>並</v>
      </c>
      <c r="F997" s="7" t="str">
        <f>IF(A997="","",IF(E997="並","-",HLOOKUP(E997,単価表!$B$1:$D$2,2,FALSE)*B997))</f>
        <v>-</v>
      </c>
      <c r="G997" s="7" t="str">
        <f t="shared" si="31"/>
        <v>-</v>
      </c>
    </row>
    <row r="998" spans="1:7">
      <c r="A998">
        <v>997</v>
      </c>
      <c r="B998">
        <v>2.5270000000000001</v>
      </c>
      <c r="C998" t="s">
        <v>5</v>
      </c>
      <c r="D998" t="s">
        <v>5</v>
      </c>
      <c r="E998" t="str">
        <f t="shared" si="30"/>
        <v>並</v>
      </c>
      <c r="F998" s="7" t="str">
        <f>IF(A998="","",IF(E998="並","-",HLOOKUP(E998,単価表!$B$1:$D$2,2,FALSE)*B998))</f>
        <v>-</v>
      </c>
      <c r="G998" s="7" t="str">
        <f t="shared" si="31"/>
        <v>-</v>
      </c>
    </row>
    <row r="999" spans="1:7">
      <c r="A999">
        <v>998</v>
      </c>
      <c r="B999">
        <v>2.5489999999999999</v>
      </c>
      <c r="C999" t="s">
        <v>3</v>
      </c>
      <c r="D999" t="s">
        <v>1</v>
      </c>
      <c r="E999" t="str">
        <f t="shared" si="30"/>
        <v>良</v>
      </c>
      <c r="F999" s="7">
        <f>IF(A999="","",IF(E999="並","-",HLOOKUP(E999,単価表!$B$1:$D$2,2,FALSE)*B999))</f>
        <v>3058.7999999999997</v>
      </c>
      <c r="G999" s="7">
        <f t="shared" si="31"/>
        <v>3100</v>
      </c>
    </row>
    <row r="1000" spans="1:7">
      <c r="A1000">
        <v>999</v>
      </c>
      <c r="B1000">
        <v>1.0960000000000001</v>
      </c>
      <c r="C1000" t="s">
        <v>3</v>
      </c>
      <c r="D1000" t="s">
        <v>3</v>
      </c>
      <c r="E1000" t="str">
        <f t="shared" si="30"/>
        <v>良</v>
      </c>
      <c r="F1000" s="7">
        <f>IF(A1000="","",IF(E1000="並","-",HLOOKUP(E1000,単価表!$B$1:$D$2,2,FALSE)*B1000))</f>
        <v>1315.2</v>
      </c>
      <c r="G1000" s="7">
        <f t="shared" si="31"/>
        <v>1350</v>
      </c>
    </row>
    <row r="1001" spans="1:7">
      <c r="A1001">
        <v>1000</v>
      </c>
      <c r="B1001">
        <v>1.1000000000000001</v>
      </c>
      <c r="C1001" t="s">
        <v>5</v>
      </c>
      <c r="D1001" t="s">
        <v>5</v>
      </c>
      <c r="E1001" t="str">
        <f t="shared" si="30"/>
        <v>並</v>
      </c>
      <c r="F1001" s="7" t="str">
        <f>IF(A1001="","",IF(E1001="並","-",HLOOKUP(E1001,単価表!$B$1:$D$2,2,FALSE)*B1001))</f>
        <v>-</v>
      </c>
      <c r="G1001" s="7" t="str">
        <f t="shared" si="31"/>
        <v>-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1001"/>
  <sheetViews>
    <sheetView tabSelected="1" topLeftCell="A4" workbookViewId="0">
      <selection activeCell="I20" sqref="I20"/>
    </sheetView>
  </sheetViews>
  <sheetFormatPr defaultRowHeight="13.5"/>
  <cols>
    <col min="1" max="1" width="7.125" bestFit="1" customWidth="1"/>
    <col min="2" max="5" width="9.875" bestFit="1" customWidth="1"/>
    <col min="6" max="6" width="12.25" bestFit="1" customWidth="1"/>
    <col min="7" max="7" width="12.375" style="5" bestFit="1" customWidth="1"/>
  </cols>
  <sheetData>
    <row r="1" spans="1:7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5" t="s">
        <v>20</v>
      </c>
    </row>
    <row r="2" spans="1:7">
      <c r="A2">
        <v>1</v>
      </c>
      <c r="B2">
        <v>4</v>
      </c>
      <c r="C2">
        <v>7</v>
      </c>
      <c r="D2">
        <v>18</v>
      </c>
      <c r="F2">
        <v>5.7279999999999998</v>
      </c>
      <c r="G2" s="5">
        <f>IF(F2="","",ROUNDUP((HLOOKUP("並",単価表!$B$1:$D$2,2,FALSE)*F2)/50,0)*50)</f>
        <v>4600</v>
      </c>
    </row>
    <row r="3" spans="1:7">
      <c r="A3">
        <v>2</v>
      </c>
      <c r="B3">
        <v>26</v>
      </c>
      <c r="C3">
        <v>29</v>
      </c>
      <c r="F3">
        <v>5.4339999999999993</v>
      </c>
      <c r="G3" s="5">
        <f>IF(F3="","",ROUNDUP((HLOOKUP("並",単価表!$B$1:$D$2,2,FALSE)*F3)/50,0)*50)</f>
        <v>4350</v>
      </c>
    </row>
    <row r="4" spans="1:7">
      <c r="A4">
        <v>3</v>
      </c>
      <c r="B4">
        <v>32</v>
      </c>
      <c r="C4">
        <v>36</v>
      </c>
      <c r="D4">
        <v>39</v>
      </c>
      <c r="E4">
        <v>41</v>
      </c>
      <c r="F4">
        <v>4.822000000000001</v>
      </c>
      <c r="G4" s="5">
        <f>IF(F4="","",ROUNDUP((HLOOKUP("並",単価表!$B$1:$D$2,2,FALSE)*F4)/50,0)*50)</f>
        <v>3900</v>
      </c>
    </row>
    <row r="5" spans="1:7">
      <c r="A5">
        <v>4</v>
      </c>
      <c r="B5">
        <v>42</v>
      </c>
      <c r="C5">
        <v>50</v>
      </c>
      <c r="D5">
        <v>58</v>
      </c>
      <c r="F5">
        <v>6.859</v>
      </c>
      <c r="G5" s="5">
        <f>IF(F5="","",ROUNDUP((HLOOKUP("並",単価表!$B$1:$D$2,2,FALSE)*F5)/50,0)*50)</f>
        <v>5500</v>
      </c>
    </row>
    <row r="6" spans="1:7">
      <c r="A6">
        <v>5</v>
      </c>
      <c r="B6">
        <v>61</v>
      </c>
      <c r="C6">
        <v>69</v>
      </c>
      <c r="D6">
        <v>72</v>
      </c>
      <c r="E6">
        <v>77</v>
      </c>
      <c r="F6">
        <v>6.5359999999999996</v>
      </c>
      <c r="G6" s="5">
        <f>IF(F6="","",ROUNDUP((HLOOKUP("並",単価表!$B$1:$D$2,2,FALSE)*F6)/50,0)*50)</f>
        <v>5250</v>
      </c>
    </row>
    <row r="7" spans="1:7">
      <c r="A7">
        <v>6</v>
      </c>
      <c r="B7">
        <v>80</v>
      </c>
      <c r="C7">
        <v>88</v>
      </c>
      <c r="D7">
        <v>91</v>
      </c>
      <c r="F7">
        <v>5.3120000000000003</v>
      </c>
      <c r="G7" s="5">
        <f>IF(F7="","",ROUNDUP((HLOOKUP("並",単価表!$B$1:$D$2,2,FALSE)*F7)/50,0)*50)</f>
        <v>4250</v>
      </c>
    </row>
    <row r="8" spans="1:7">
      <c r="A8">
        <v>7</v>
      </c>
      <c r="B8">
        <v>93</v>
      </c>
      <c r="C8">
        <v>94</v>
      </c>
      <c r="D8">
        <v>96</v>
      </c>
      <c r="E8">
        <v>97</v>
      </c>
      <c r="F8">
        <v>5.8719999999999999</v>
      </c>
      <c r="G8" s="5">
        <f>IF(F8="","",ROUNDUP((HLOOKUP("並",単価表!$B$1:$D$2,2,FALSE)*F8)/50,0)*50)</f>
        <v>4700</v>
      </c>
    </row>
    <row r="9" spans="1:7">
      <c r="A9">
        <v>8</v>
      </c>
      <c r="B9">
        <v>98</v>
      </c>
      <c r="C9">
        <v>100</v>
      </c>
      <c r="D9">
        <v>101</v>
      </c>
      <c r="E9">
        <v>102</v>
      </c>
      <c r="F9">
        <v>5.7080000000000002</v>
      </c>
      <c r="G9" s="5">
        <f>IF(F9="","",ROUNDUP((HLOOKUP("並",単価表!$B$1:$D$2,2,FALSE)*F9)/50,0)*50)</f>
        <v>4600</v>
      </c>
    </row>
    <row r="10" spans="1:7">
      <c r="A10">
        <v>9</v>
      </c>
      <c r="B10">
        <v>108</v>
      </c>
      <c r="C10">
        <v>109</v>
      </c>
      <c r="F10">
        <v>5.5350000000000001</v>
      </c>
      <c r="G10" s="5">
        <f>IF(F10="","",ROUNDUP((HLOOKUP("並",単価表!$B$1:$D$2,2,FALSE)*F10)/50,0)*50)</f>
        <v>4450</v>
      </c>
    </row>
    <row r="11" spans="1:7">
      <c r="A11">
        <v>10</v>
      </c>
      <c r="B11">
        <v>110</v>
      </c>
      <c r="C11">
        <v>111</v>
      </c>
      <c r="D11">
        <v>113</v>
      </c>
      <c r="E11">
        <v>115</v>
      </c>
      <c r="F11">
        <v>3.9809999999999999</v>
      </c>
      <c r="G11" s="5">
        <f>IF(F11="","",ROUNDUP((HLOOKUP("並",単価表!$B$1:$D$2,2,FALSE)*F11)/50,0)*50)</f>
        <v>3200</v>
      </c>
    </row>
    <row r="12" spans="1:7">
      <c r="A12">
        <v>11</v>
      </c>
      <c r="B12">
        <v>119</v>
      </c>
      <c r="C12">
        <v>120</v>
      </c>
      <c r="D12">
        <v>121</v>
      </c>
      <c r="F12">
        <v>6.5760000000000005</v>
      </c>
      <c r="G12" s="5">
        <f>IF(F12="","",ROUNDUP((HLOOKUP("並",単価表!$B$1:$D$2,2,FALSE)*F12)/50,0)*50)</f>
        <v>5300</v>
      </c>
    </row>
    <row r="13" spans="1:7">
      <c r="A13">
        <v>12</v>
      </c>
      <c r="B13">
        <v>122</v>
      </c>
      <c r="C13">
        <v>123</v>
      </c>
      <c r="D13">
        <v>124</v>
      </c>
      <c r="E13">
        <v>126</v>
      </c>
      <c r="F13">
        <v>6.3949999999999996</v>
      </c>
      <c r="G13" s="5">
        <f>IF(F13="","",ROUNDUP((HLOOKUP("並",単価表!$B$1:$D$2,2,FALSE)*F13)/50,0)*50)</f>
        <v>5150</v>
      </c>
    </row>
    <row r="14" spans="1:7">
      <c r="A14">
        <v>13</v>
      </c>
      <c r="B14">
        <v>129</v>
      </c>
      <c r="C14">
        <v>131</v>
      </c>
      <c r="D14">
        <v>132</v>
      </c>
      <c r="F14">
        <v>5.5809999999999995</v>
      </c>
      <c r="G14" s="5">
        <f>IF(F14="","",ROUNDUP((HLOOKUP("並",単価表!$B$1:$D$2,2,FALSE)*F14)/50,0)*50)</f>
        <v>4500</v>
      </c>
    </row>
    <row r="15" spans="1:7">
      <c r="A15">
        <v>14</v>
      </c>
      <c r="B15">
        <v>133</v>
      </c>
      <c r="C15">
        <v>135</v>
      </c>
      <c r="D15">
        <v>137</v>
      </c>
      <c r="E15">
        <v>138</v>
      </c>
      <c r="F15">
        <v>5.4789999999999992</v>
      </c>
      <c r="G15" s="5">
        <f>IF(F15="","",ROUNDUP((HLOOKUP("並",単価表!$B$1:$D$2,2,FALSE)*F15)/50,0)*50)</f>
        <v>4400</v>
      </c>
    </row>
    <row r="16" spans="1:7">
      <c r="A16">
        <v>15</v>
      </c>
      <c r="B16">
        <v>139</v>
      </c>
      <c r="C16">
        <v>140</v>
      </c>
      <c r="D16">
        <v>142</v>
      </c>
      <c r="F16">
        <v>5.1059999999999999</v>
      </c>
      <c r="G16" s="5">
        <f>IF(F16="","",ROUNDUP((HLOOKUP("並",単価表!$B$1:$D$2,2,FALSE)*F16)/50,0)*50)</f>
        <v>4100</v>
      </c>
    </row>
    <row r="17" spans="1:7">
      <c r="A17">
        <v>16</v>
      </c>
      <c r="B17">
        <v>143</v>
      </c>
      <c r="C17">
        <v>144</v>
      </c>
      <c r="D17">
        <v>145</v>
      </c>
      <c r="F17">
        <v>5.0920000000000005</v>
      </c>
      <c r="G17" s="5">
        <f>IF(F17="","",ROUNDUP((HLOOKUP("並",単価表!$B$1:$D$2,2,FALSE)*F17)/50,0)*50)</f>
        <v>4100</v>
      </c>
    </row>
    <row r="18" spans="1:7">
      <c r="A18">
        <v>17</v>
      </c>
      <c r="B18">
        <v>147</v>
      </c>
      <c r="C18">
        <v>148</v>
      </c>
      <c r="D18">
        <v>150</v>
      </c>
      <c r="F18">
        <v>5.51</v>
      </c>
      <c r="G18" s="5">
        <f>IF(F18="","",ROUNDUP((HLOOKUP("並",単価表!$B$1:$D$2,2,FALSE)*F18)/50,0)*50)</f>
        <v>4450</v>
      </c>
    </row>
    <row r="19" spans="1:7">
      <c r="A19">
        <v>18</v>
      </c>
      <c r="B19">
        <v>151</v>
      </c>
      <c r="C19">
        <v>154</v>
      </c>
      <c r="D19">
        <v>157</v>
      </c>
      <c r="E19">
        <v>158</v>
      </c>
      <c r="F19">
        <v>4.9470000000000001</v>
      </c>
      <c r="G19" s="5">
        <f>IF(F19="","",ROUNDUP((HLOOKUP("並",単価表!$B$1:$D$2,2,FALSE)*F19)/50,0)*50)</f>
        <v>4000</v>
      </c>
    </row>
    <row r="20" spans="1:7">
      <c r="A20">
        <v>19</v>
      </c>
      <c r="B20">
        <v>161</v>
      </c>
      <c r="C20">
        <v>164</v>
      </c>
      <c r="D20">
        <v>168</v>
      </c>
      <c r="E20">
        <v>170</v>
      </c>
      <c r="F20">
        <v>6.5590000000000002</v>
      </c>
      <c r="G20" s="5">
        <f>IF(F20="","",ROUNDUP((HLOOKUP("並",単価表!$B$1:$D$2,2,FALSE)*F20)/50,0)*50)</f>
        <v>5250</v>
      </c>
    </row>
    <row r="21" spans="1:7">
      <c r="A21">
        <v>20</v>
      </c>
      <c r="B21">
        <v>171</v>
      </c>
      <c r="C21">
        <v>173</v>
      </c>
      <c r="D21">
        <v>175</v>
      </c>
      <c r="F21">
        <v>5.4219999999999997</v>
      </c>
      <c r="G21" s="5">
        <f>IF(F21="","",ROUNDUP((HLOOKUP("並",単価表!$B$1:$D$2,2,FALSE)*F21)/50,0)*50)</f>
        <v>4350</v>
      </c>
    </row>
    <row r="22" spans="1:7">
      <c r="A22">
        <v>21</v>
      </c>
      <c r="B22">
        <v>178</v>
      </c>
      <c r="C22">
        <v>181</v>
      </c>
      <c r="D22">
        <v>183</v>
      </c>
      <c r="E22">
        <v>184</v>
      </c>
      <c r="F22">
        <v>5.2489999999999997</v>
      </c>
      <c r="G22" s="5">
        <f>IF(F22="","",ROUNDUP((HLOOKUP("並",単価表!$B$1:$D$2,2,FALSE)*F22)/50,0)*50)</f>
        <v>4200</v>
      </c>
    </row>
    <row r="23" spans="1:7">
      <c r="A23">
        <v>22</v>
      </c>
      <c r="B23">
        <v>185</v>
      </c>
      <c r="C23">
        <v>191</v>
      </c>
      <c r="D23">
        <v>192</v>
      </c>
      <c r="F23">
        <v>6.0389999999999997</v>
      </c>
      <c r="G23" s="5">
        <f>IF(F23="","",ROUNDUP((HLOOKUP("並",単価表!$B$1:$D$2,2,FALSE)*F23)/50,0)*50)</f>
        <v>4850</v>
      </c>
    </row>
    <row r="24" spans="1:7">
      <c r="A24">
        <v>23</v>
      </c>
      <c r="B24">
        <v>194</v>
      </c>
      <c r="C24">
        <v>195</v>
      </c>
      <c r="D24">
        <v>196</v>
      </c>
      <c r="E24">
        <v>197</v>
      </c>
      <c r="F24">
        <v>5.2850000000000001</v>
      </c>
      <c r="G24" s="5">
        <f>IF(F24="","",ROUNDUP((HLOOKUP("並",単価表!$B$1:$D$2,2,FALSE)*F24)/50,0)*50)</f>
        <v>4250</v>
      </c>
    </row>
    <row r="25" spans="1:7">
      <c r="A25">
        <v>24</v>
      </c>
      <c r="B25">
        <v>198</v>
      </c>
      <c r="C25">
        <v>199</v>
      </c>
      <c r="D25">
        <v>200</v>
      </c>
      <c r="E25">
        <v>202</v>
      </c>
      <c r="F25">
        <v>3.7619999999999996</v>
      </c>
      <c r="G25" s="5">
        <f>IF(F25="","",ROUNDUP((HLOOKUP("並",単価表!$B$1:$D$2,2,FALSE)*F25)/50,0)*50)</f>
        <v>3050</v>
      </c>
    </row>
    <row r="26" spans="1:7">
      <c r="A26">
        <v>25</v>
      </c>
      <c r="B26">
        <v>203</v>
      </c>
      <c r="C26">
        <v>204</v>
      </c>
      <c r="D26">
        <v>205</v>
      </c>
      <c r="E26">
        <v>207</v>
      </c>
      <c r="F26">
        <v>6.2059999999999995</v>
      </c>
      <c r="G26" s="5">
        <f>IF(F26="","",ROUNDUP((HLOOKUP("並",単価表!$B$1:$D$2,2,FALSE)*F26)/50,0)*50)</f>
        <v>5000</v>
      </c>
    </row>
    <row r="27" spans="1:7">
      <c r="A27">
        <v>26</v>
      </c>
      <c r="B27">
        <v>208</v>
      </c>
      <c r="C27">
        <v>211</v>
      </c>
      <c r="D27">
        <v>212</v>
      </c>
      <c r="E27">
        <v>213</v>
      </c>
      <c r="F27">
        <v>7.2970000000000006</v>
      </c>
      <c r="G27" s="5">
        <f>IF(F27="","",ROUNDUP((HLOOKUP("並",単価表!$B$1:$D$2,2,FALSE)*F27)/50,0)*50)</f>
        <v>5850</v>
      </c>
    </row>
    <row r="28" spans="1:7">
      <c r="A28">
        <v>27</v>
      </c>
      <c r="B28">
        <v>215</v>
      </c>
      <c r="C28">
        <v>217</v>
      </c>
      <c r="D28">
        <v>219</v>
      </c>
      <c r="F28">
        <v>6.7170000000000005</v>
      </c>
      <c r="G28" s="5">
        <f>IF(F28="","",ROUNDUP((HLOOKUP("並",単価表!$B$1:$D$2,2,FALSE)*F28)/50,0)*50)</f>
        <v>5400</v>
      </c>
    </row>
    <row r="29" spans="1:7">
      <c r="A29">
        <v>28</v>
      </c>
      <c r="B29">
        <v>220</v>
      </c>
      <c r="C29">
        <v>221</v>
      </c>
      <c r="D29">
        <v>222</v>
      </c>
      <c r="E29">
        <v>225</v>
      </c>
      <c r="F29">
        <v>5.54</v>
      </c>
      <c r="G29" s="5">
        <f>IF(F29="","",ROUNDUP((HLOOKUP("並",単価表!$B$1:$D$2,2,FALSE)*F29)/50,0)*50)</f>
        <v>4450</v>
      </c>
    </row>
    <row r="30" spans="1:7">
      <c r="A30">
        <v>29</v>
      </c>
      <c r="B30">
        <v>227</v>
      </c>
      <c r="C30">
        <v>230</v>
      </c>
      <c r="D30">
        <v>233</v>
      </c>
      <c r="F30">
        <v>5.1289999999999996</v>
      </c>
      <c r="G30" s="5">
        <f>IF(F30="","",ROUNDUP((HLOOKUP("並",単価表!$B$1:$D$2,2,FALSE)*F30)/50,0)*50)</f>
        <v>4150</v>
      </c>
    </row>
    <row r="31" spans="1:7">
      <c r="A31">
        <v>30</v>
      </c>
      <c r="B31">
        <v>236</v>
      </c>
      <c r="C31">
        <v>238</v>
      </c>
      <c r="D31">
        <v>239</v>
      </c>
      <c r="F31">
        <v>5.5009999999999994</v>
      </c>
      <c r="G31" s="5">
        <f>IF(F31="","",ROUNDUP((HLOOKUP("並",単価表!$B$1:$D$2,2,FALSE)*F31)/50,0)*50)</f>
        <v>4450</v>
      </c>
    </row>
    <row r="32" spans="1:7">
      <c r="A32">
        <v>31</v>
      </c>
      <c r="B32">
        <v>240</v>
      </c>
      <c r="C32">
        <v>241</v>
      </c>
      <c r="D32">
        <v>244</v>
      </c>
      <c r="E32">
        <v>245</v>
      </c>
      <c r="F32">
        <v>3.9609999999999999</v>
      </c>
      <c r="G32" s="5">
        <f>IF(F32="","",ROUNDUP((HLOOKUP("並",単価表!$B$1:$D$2,2,FALSE)*F32)/50,0)*50)</f>
        <v>3200</v>
      </c>
    </row>
    <row r="33" spans="1:7">
      <c r="A33">
        <v>32</v>
      </c>
      <c r="B33">
        <v>246</v>
      </c>
      <c r="C33">
        <v>247</v>
      </c>
      <c r="D33">
        <v>250</v>
      </c>
      <c r="E33">
        <v>251</v>
      </c>
      <c r="F33">
        <v>5.7309999999999999</v>
      </c>
      <c r="G33" s="5">
        <f>IF(F33="","",ROUNDUP((HLOOKUP("並",単価表!$B$1:$D$2,2,FALSE)*F33)/50,0)*50)</f>
        <v>4600</v>
      </c>
    </row>
    <row r="34" spans="1:7">
      <c r="A34">
        <v>33</v>
      </c>
      <c r="B34">
        <v>252</v>
      </c>
      <c r="C34">
        <v>253</v>
      </c>
      <c r="D34">
        <v>254</v>
      </c>
      <c r="E34">
        <v>257</v>
      </c>
      <c r="F34">
        <v>5.6410000000000009</v>
      </c>
      <c r="G34" s="5">
        <f>IF(F34="","",ROUNDUP((HLOOKUP("並",単価表!$B$1:$D$2,2,FALSE)*F34)/50,0)*50)</f>
        <v>4550</v>
      </c>
    </row>
    <row r="35" spans="1:7">
      <c r="A35">
        <v>34</v>
      </c>
      <c r="B35">
        <v>258</v>
      </c>
      <c r="C35">
        <v>264</v>
      </c>
      <c r="D35">
        <v>267</v>
      </c>
      <c r="E35">
        <v>268</v>
      </c>
      <c r="F35">
        <v>6.827</v>
      </c>
      <c r="G35" s="5">
        <f>IF(F35="","",ROUNDUP((HLOOKUP("並",単価表!$B$1:$D$2,2,FALSE)*F35)/50,0)*50)</f>
        <v>5500</v>
      </c>
    </row>
    <row r="36" spans="1:7">
      <c r="A36">
        <v>35</v>
      </c>
      <c r="B36">
        <v>269</v>
      </c>
      <c r="C36">
        <v>272</v>
      </c>
      <c r="D36">
        <v>273</v>
      </c>
      <c r="F36">
        <v>5.7330000000000005</v>
      </c>
      <c r="G36" s="5">
        <f>IF(F36="","",ROUNDUP((HLOOKUP("並",単価表!$B$1:$D$2,2,FALSE)*F36)/50,0)*50)</f>
        <v>4600</v>
      </c>
    </row>
    <row r="37" spans="1:7">
      <c r="A37">
        <v>36</v>
      </c>
      <c r="B37">
        <v>274</v>
      </c>
      <c r="C37">
        <v>279</v>
      </c>
      <c r="D37">
        <v>280</v>
      </c>
      <c r="E37">
        <v>281</v>
      </c>
      <c r="F37">
        <v>6.7530000000000001</v>
      </c>
      <c r="G37" s="5">
        <f>IF(F37="","",ROUNDUP((HLOOKUP("並",単価表!$B$1:$D$2,2,FALSE)*F37)/50,0)*50)</f>
        <v>5450</v>
      </c>
    </row>
    <row r="38" spans="1:7">
      <c r="A38">
        <v>37</v>
      </c>
      <c r="B38">
        <v>284</v>
      </c>
      <c r="C38">
        <v>285</v>
      </c>
      <c r="D38">
        <v>286</v>
      </c>
      <c r="E38">
        <v>288</v>
      </c>
      <c r="F38">
        <v>4.8689999999999998</v>
      </c>
      <c r="G38" s="5">
        <f>IF(F38="","",ROUNDUP((HLOOKUP("並",単価表!$B$1:$D$2,2,FALSE)*F38)/50,0)*50)</f>
        <v>3900</v>
      </c>
    </row>
    <row r="39" spans="1:7">
      <c r="A39">
        <v>38</v>
      </c>
      <c r="B39">
        <v>293</v>
      </c>
      <c r="C39">
        <v>294</v>
      </c>
      <c r="D39">
        <v>295</v>
      </c>
      <c r="E39">
        <v>297</v>
      </c>
      <c r="F39">
        <v>6.6580000000000004</v>
      </c>
      <c r="G39" s="5">
        <f>IF(F39="","",ROUNDUP((HLOOKUP("並",単価表!$B$1:$D$2,2,FALSE)*F39)/50,0)*50)</f>
        <v>5350</v>
      </c>
    </row>
    <row r="40" spans="1:7">
      <c r="A40">
        <v>39</v>
      </c>
      <c r="B40">
        <v>301</v>
      </c>
      <c r="C40">
        <v>305</v>
      </c>
      <c r="D40">
        <v>306</v>
      </c>
      <c r="F40">
        <v>5.9750000000000005</v>
      </c>
      <c r="G40" s="5">
        <f>IF(F40="","",ROUNDUP((HLOOKUP("並",単価表!$B$1:$D$2,2,FALSE)*F40)/50,0)*50)</f>
        <v>4800</v>
      </c>
    </row>
    <row r="41" spans="1:7">
      <c r="A41">
        <v>40</v>
      </c>
      <c r="B41">
        <v>307</v>
      </c>
      <c r="C41">
        <v>308</v>
      </c>
      <c r="D41">
        <v>313</v>
      </c>
      <c r="E41">
        <v>315</v>
      </c>
      <c r="F41">
        <v>4.9950000000000001</v>
      </c>
      <c r="G41" s="5">
        <f>IF(F41="","",ROUNDUP((HLOOKUP("並",単価表!$B$1:$D$2,2,FALSE)*F41)/50,0)*50)</f>
        <v>4000</v>
      </c>
    </row>
    <row r="42" spans="1:7">
      <c r="A42">
        <v>41</v>
      </c>
      <c r="B42">
        <v>316</v>
      </c>
      <c r="C42">
        <v>317</v>
      </c>
      <c r="D42">
        <v>323</v>
      </c>
      <c r="F42">
        <v>5.6660000000000004</v>
      </c>
      <c r="G42" s="5">
        <f>IF(F42="","",ROUNDUP((HLOOKUP("並",単価表!$B$1:$D$2,2,FALSE)*F42)/50,0)*50)</f>
        <v>4550</v>
      </c>
    </row>
    <row r="43" spans="1:7">
      <c r="A43">
        <v>42</v>
      </c>
      <c r="B43">
        <v>326</v>
      </c>
      <c r="C43">
        <v>327</v>
      </c>
      <c r="D43">
        <v>328</v>
      </c>
      <c r="E43">
        <v>329</v>
      </c>
      <c r="F43">
        <v>6.0579999999999998</v>
      </c>
      <c r="G43" s="5">
        <f>IF(F43="","",ROUNDUP((HLOOKUP("並",単価表!$B$1:$D$2,2,FALSE)*F43)/50,0)*50)</f>
        <v>4850</v>
      </c>
    </row>
    <row r="44" spans="1:7">
      <c r="A44">
        <v>43</v>
      </c>
      <c r="B44">
        <v>330</v>
      </c>
      <c r="C44">
        <v>332</v>
      </c>
      <c r="D44">
        <v>333</v>
      </c>
      <c r="F44">
        <v>5.68</v>
      </c>
      <c r="G44" s="5">
        <f>IF(F44="","",ROUNDUP((HLOOKUP("並",単価表!$B$1:$D$2,2,FALSE)*F44)/50,0)*50)</f>
        <v>4550</v>
      </c>
    </row>
    <row r="45" spans="1:7">
      <c r="A45">
        <v>44</v>
      </c>
      <c r="B45">
        <v>334</v>
      </c>
      <c r="C45">
        <v>335</v>
      </c>
      <c r="D45">
        <v>336</v>
      </c>
      <c r="E45">
        <v>337</v>
      </c>
      <c r="F45">
        <v>4.7149999999999999</v>
      </c>
      <c r="G45" s="5">
        <f>IF(F45="","",ROUNDUP((HLOOKUP("並",単価表!$B$1:$D$2,2,FALSE)*F45)/50,0)*50)</f>
        <v>3800</v>
      </c>
    </row>
    <row r="46" spans="1:7">
      <c r="A46">
        <v>45</v>
      </c>
      <c r="B46">
        <v>338</v>
      </c>
      <c r="C46">
        <v>339</v>
      </c>
      <c r="D46">
        <v>340</v>
      </c>
      <c r="E46">
        <v>341</v>
      </c>
      <c r="F46">
        <v>6.6580000000000004</v>
      </c>
      <c r="G46" s="5">
        <f>IF(F46="","",ROUNDUP((HLOOKUP("並",単価表!$B$1:$D$2,2,FALSE)*F46)/50,0)*50)</f>
        <v>5350</v>
      </c>
    </row>
    <row r="47" spans="1:7">
      <c r="A47">
        <v>46</v>
      </c>
      <c r="B47">
        <v>342</v>
      </c>
      <c r="C47">
        <v>343</v>
      </c>
      <c r="D47">
        <v>344</v>
      </c>
      <c r="F47">
        <v>6.2480000000000002</v>
      </c>
      <c r="G47" s="5">
        <f>IF(F47="","",ROUNDUP((HLOOKUP("並",単価表!$B$1:$D$2,2,FALSE)*F47)/50,0)*50)</f>
        <v>5000</v>
      </c>
    </row>
    <row r="48" spans="1:7">
      <c r="A48">
        <v>47</v>
      </c>
      <c r="B48">
        <v>345</v>
      </c>
      <c r="C48">
        <v>347</v>
      </c>
      <c r="D48">
        <v>348</v>
      </c>
      <c r="E48">
        <v>350</v>
      </c>
      <c r="F48">
        <v>5.6020000000000003</v>
      </c>
      <c r="G48" s="5">
        <f>IF(F48="","",ROUNDUP((HLOOKUP("並",単価表!$B$1:$D$2,2,FALSE)*F48)/50,0)*50)</f>
        <v>4500</v>
      </c>
    </row>
    <row r="49" spans="1:7">
      <c r="A49">
        <v>48</v>
      </c>
      <c r="B49">
        <v>351</v>
      </c>
      <c r="C49">
        <v>353</v>
      </c>
      <c r="D49">
        <v>354</v>
      </c>
      <c r="E49">
        <v>355</v>
      </c>
      <c r="F49">
        <v>4.4239999999999995</v>
      </c>
      <c r="G49" s="5">
        <f>IF(F49="","",ROUNDUP((HLOOKUP("並",単価表!$B$1:$D$2,2,FALSE)*F49)/50,0)*50)</f>
        <v>3550</v>
      </c>
    </row>
    <row r="50" spans="1:7">
      <c r="A50">
        <v>49</v>
      </c>
      <c r="B50">
        <v>356</v>
      </c>
      <c r="C50">
        <v>358</v>
      </c>
      <c r="D50">
        <v>361</v>
      </c>
      <c r="E50">
        <v>362</v>
      </c>
      <c r="F50">
        <v>7.2249999999999996</v>
      </c>
      <c r="G50" s="5">
        <f>IF(F50="","",ROUNDUP((HLOOKUP("並",単価表!$B$1:$D$2,2,FALSE)*F50)/50,0)*50)</f>
        <v>5800</v>
      </c>
    </row>
    <row r="51" spans="1:7">
      <c r="A51">
        <v>50</v>
      </c>
      <c r="B51">
        <v>363</v>
      </c>
      <c r="C51">
        <v>364</v>
      </c>
      <c r="D51">
        <v>365</v>
      </c>
      <c r="F51">
        <v>5.0030000000000001</v>
      </c>
      <c r="G51" s="5">
        <f>IF(F51="","",ROUNDUP((HLOOKUP("並",単価表!$B$1:$D$2,2,FALSE)*F51)/50,0)*50)</f>
        <v>4050</v>
      </c>
    </row>
    <row r="52" spans="1:7">
      <c r="A52">
        <v>51</v>
      </c>
      <c r="B52">
        <v>366</v>
      </c>
      <c r="C52">
        <v>371</v>
      </c>
      <c r="D52">
        <v>372</v>
      </c>
      <c r="F52">
        <v>6.2779999999999996</v>
      </c>
      <c r="G52" s="5">
        <f>IF(F52="","",ROUNDUP((HLOOKUP("並",単価表!$B$1:$D$2,2,FALSE)*F52)/50,0)*50)</f>
        <v>5050</v>
      </c>
    </row>
    <row r="53" spans="1:7">
      <c r="A53">
        <v>52</v>
      </c>
      <c r="B53">
        <v>373</v>
      </c>
      <c r="C53">
        <v>375</v>
      </c>
      <c r="D53">
        <v>381</v>
      </c>
      <c r="F53">
        <v>6.1069999999999993</v>
      </c>
      <c r="G53" s="5">
        <f>IF(F53="","",ROUNDUP((HLOOKUP("並",単価表!$B$1:$D$2,2,FALSE)*F53)/50,0)*50)</f>
        <v>4900</v>
      </c>
    </row>
    <row r="54" spans="1:7">
      <c r="A54">
        <v>53</v>
      </c>
      <c r="B54">
        <v>384</v>
      </c>
      <c r="C54">
        <v>386</v>
      </c>
      <c r="D54">
        <v>387</v>
      </c>
      <c r="F54">
        <v>5.9530000000000003</v>
      </c>
      <c r="G54" s="5">
        <f>IF(F54="","",ROUNDUP((HLOOKUP("並",単価表!$B$1:$D$2,2,FALSE)*F54)/50,0)*50)</f>
        <v>4800</v>
      </c>
    </row>
    <row r="55" spans="1:7">
      <c r="A55">
        <v>54</v>
      </c>
      <c r="B55">
        <v>389</v>
      </c>
      <c r="C55">
        <v>390</v>
      </c>
      <c r="D55">
        <v>391</v>
      </c>
      <c r="F55">
        <v>5.6559999999999997</v>
      </c>
      <c r="G55" s="5">
        <f>IF(F55="","",ROUNDUP((HLOOKUP("並",単価表!$B$1:$D$2,2,FALSE)*F55)/50,0)*50)</f>
        <v>4550</v>
      </c>
    </row>
    <row r="56" spans="1:7">
      <c r="A56">
        <v>55</v>
      </c>
      <c r="B56">
        <v>392</v>
      </c>
      <c r="C56">
        <v>396</v>
      </c>
      <c r="F56">
        <v>5.3710000000000004</v>
      </c>
      <c r="G56" s="5">
        <f>IF(F56="","",ROUNDUP((HLOOKUP("並",単価表!$B$1:$D$2,2,FALSE)*F56)/50,0)*50)</f>
        <v>4300</v>
      </c>
    </row>
    <row r="57" spans="1:7">
      <c r="A57">
        <v>56</v>
      </c>
      <c r="B57">
        <v>399</v>
      </c>
      <c r="C57">
        <v>400</v>
      </c>
      <c r="D57">
        <v>402</v>
      </c>
      <c r="F57">
        <v>5.7089999999999996</v>
      </c>
      <c r="G57" s="5">
        <f>IF(F57="","",ROUNDUP((HLOOKUP("並",単価表!$B$1:$D$2,2,FALSE)*F57)/50,0)*50)</f>
        <v>4600</v>
      </c>
    </row>
    <row r="58" spans="1:7">
      <c r="A58">
        <v>57</v>
      </c>
      <c r="B58">
        <v>403</v>
      </c>
      <c r="C58">
        <v>404</v>
      </c>
      <c r="D58">
        <v>405</v>
      </c>
      <c r="F58">
        <v>5.2839999999999998</v>
      </c>
      <c r="G58" s="5">
        <f>IF(F58="","",ROUNDUP((HLOOKUP("並",単価表!$B$1:$D$2,2,FALSE)*F58)/50,0)*50)</f>
        <v>4250</v>
      </c>
    </row>
    <row r="59" spans="1:7">
      <c r="A59">
        <v>58</v>
      </c>
      <c r="B59">
        <v>408</v>
      </c>
      <c r="C59">
        <v>409</v>
      </c>
      <c r="D59">
        <v>410</v>
      </c>
      <c r="F59">
        <v>6.2919999999999998</v>
      </c>
      <c r="G59" s="5">
        <f>IF(F59="","",ROUNDUP((HLOOKUP("並",単価表!$B$1:$D$2,2,FALSE)*F59)/50,0)*50)</f>
        <v>5050</v>
      </c>
    </row>
    <row r="60" spans="1:7">
      <c r="A60">
        <v>59</v>
      </c>
      <c r="B60">
        <v>411</v>
      </c>
      <c r="C60">
        <v>415</v>
      </c>
      <c r="D60">
        <v>416</v>
      </c>
      <c r="F60">
        <v>6.2720000000000002</v>
      </c>
      <c r="G60" s="5">
        <f>IF(F60="","",ROUNDUP((HLOOKUP("並",単価表!$B$1:$D$2,2,FALSE)*F60)/50,0)*50)</f>
        <v>5050</v>
      </c>
    </row>
    <row r="61" spans="1:7">
      <c r="A61">
        <v>60</v>
      </c>
      <c r="B61">
        <v>418</v>
      </c>
      <c r="C61">
        <v>422</v>
      </c>
      <c r="D61">
        <v>424</v>
      </c>
      <c r="F61">
        <v>6.9879999999999995</v>
      </c>
      <c r="G61" s="5">
        <f>IF(F61="","",ROUNDUP((HLOOKUP("並",単価表!$B$1:$D$2,2,FALSE)*F61)/50,0)*50)</f>
        <v>5600</v>
      </c>
    </row>
    <row r="62" spans="1:7">
      <c r="A62">
        <v>61</v>
      </c>
      <c r="B62">
        <v>425</v>
      </c>
      <c r="C62">
        <v>426</v>
      </c>
      <c r="D62">
        <v>428</v>
      </c>
      <c r="F62">
        <v>6.25</v>
      </c>
      <c r="G62" s="5">
        <f>IF(F62="","",ROUNDUP((HLOOKUP("並",単価表!$B$1:$D$2,2,FALSE)*F62)/50,0)*50)</f>
        <v>5000</v>
      </c>
    </row>
    <row r="63" spans="1:7">
      <c r="A63">
        <v>62</v>
      </c>
      <c r="B63">
        <v>430</v>
      </c>
      <c r="C63">
        <v>432</v>
      </c>
      <c r="D63">
        <v>435</v>
      </c>
      <c r="E63">
        <v>437</v>
      </c>
      <c r="F63">
        <v>7.0140000000000002</v>
      </c>
      <c r="G63" s="5">
        <f>IF(F63="","",ROUNDUP((HLOOKUP("並",単価表!$B$1:$D$2,2,FALSE)*F63)/50,0)*50)</f>
        <v>5650</v>
      </c>
    </row>
    <row r="64" spans="1:7">
      <c r="A64">
        <v>63</v>
      </c>
      <c r="B64">
        <v>440</v>
      </c>
      <c r="C64">
        <v>441</v>
      </c>
      <c r="D64">
        <v>442</v>
      </c>
      <c r="F64">
        <v>5.1140000000000008</v>
      </c>
      <c r="G64" s="5">
        <f>IF(F64="","",ROUNDUP((HLOOKUP("並",単価表!$B$1:$D$2,2,FALSE)*F64)/50,0)*50)</f>
        <v>4100</v>
      </c>
    </row>
    <row r="65" spans="1:7">
      <c r="A65">
        <v>64</v>
      </c>
      <c r="B65">
        <v>443</v>
      </c>
      <c r="C65">
        <v>446</v>
      </c>
      <c r="D65">
        <v>450</v>
      </c>
      <c r="E65">
        <v>452</v>
      </c>
      <c r="F65">
        <v>7.3060000000000009</v>
      </c>
      <c r="G65" s="5">
        <f>IF(F65="","",ROUNDUP((HLOOKUP("並",単価表!$B$1:$D$2,2,FALSE)*F65)/50,0)*50)</f>
        <v>5850</v>
      </c>
    </row>
    <row r="66" spans="1:7">
      <c r="A66">
        <v>65</v>
      </c>
      <c r="B66">
        <v>454</v>
      </c>
      <c r="C66">
        <v>455</v>
      </c>
      <c r="D66">
        <v>458</v>
      </c>
      <c r="F66">
        <v>6.6479999999999997</v>
      </c>
      <c r="G66" s="5">
        <f>IF(F66="","",ROUNDUP((HLOOKUP("並",単価表!$B$1:$D$2,2,FALSE)*F66)/50,0)*50)</f>
        <v>5350</v>
      </c>
    </row>
    <row r="67" spans="1:7">
      <c r="A67">
        <v>66</v>
      </c>
      <c r="B67">
        <v>459</v>
      </c>
      <c r="C67">
        <v>460</v>
      </c>
      <c r="D67">
        <v>461</v>
      </c>
      <c r="E67">
        <v>462</v>
      </c>
      <c r="F67">
        <v>5.1619999999999999</v>
      </c>
      <c r="G67" s="5">
        <f>IF(F67="","",ROUNDUP((HLOOKUP("並",単価表!$B$1:$D$2,2,FALSE)*F67)/50,0)*50)</f>
        <v>4150</v>
      </c>
    </row>
    <row r="68" spans="1:7">
      <c r="A68">
        <v>67</v>
      </c>
      <c r="B68">
        <v>464</v>
      </c>
      <c r="C68">
        <v>465</v>
      </c>
      <c r="D68">
        <v>466</v>
      </c>
      <c r="E68">
        <v>467</v>
      </c>
      <c r="F68">
        <v>6.3450000000000006</v>
      </c>
      <c r="G68" s="5">
        <f>IF(F68="","",ROUNDUP((HLOOKUP("並",単価表!$B$1:$D$2,2,FALSE)*F68)/50,0)*50)</f>
        <v>5100</v>
      </c>
    </row>
    <row r="69" spans="1:7">
      <c r="A69">
        <v>68</v>
      </c>
      <c r="B69">
        <v>469</v>
      </c>
      <c r="C69">
        <v>473</v>
      </c>
      <c r="D69">
        <v>474</v>
      </c>
      <c r="E69">
        <v>476</v>
      </c>
      <c r="F69">
        <v>6.0339999999999989</v>
      </c>
      <c r="G69" s="5">
        <f>IF(F69="","",ROUNDUP((HLOOKUP("並",単価表!$B$1:$D$2,2,FALSE)*F69)/50,0)*50)</f>
        <v>4850</v>
      </c>
    </row>
    <row r="70" spans="1:7">
      <c r="A70">
        <v>69</v>
      </c>
      <c r="B70">
        <v>479</v>
      </c>
      <c r="C70">
        <v>480</v>
      </c>
      <c r="D70">
        <v>483</v>
      </c>
      <c r="E70">
        <v>485</v>
      </c>
      <c r="F70">
        <v>5.9939999999999998</v>
      </c>
      <c r="G70" s="5">
        <f>IF(F70="","",ROUNDUP((HLOOKUP("並",単価表!$B$1:$D$2,2,FALSE)*F70)/50,0)*50)</f>
        <v>4800</v>
      </c>
    </row>
    <row r="71" spans="1:7">
      <c r="A71">
        <v>70</v>
      </c>
      <c r="B71">
        <v>486</v>
      </c>
      <c r="C71">
        <v>489</v>
      </c>
      <c r="D71">
        <v>490</v>
      </c>
      <c r="F71">
        <v>6.1400000000000006</v>
      </c>
      <c r="G71" s="5">
        <f>IF(F71="","",ROUNDUP((HLOOKUP("並",単価表!$B$1:$D$2,2,FALSE)*F71)/50,0)*50)</f>
        <v>4950</v>
      </c>
    </row>
    <row r="72" spans="1:7">
      <c r="A72">
        <v>71</v>
      </c>
      <c r="B72">
        <v>491</v>
      </c>
      <c r="C72">
        <v>492</v>
      </c>
      <c r="D72">
        <v>493</v>
      </c>
      <c r="E72">
        <v>494</v>
      </c>
      <c r="F72">
        <v>5.0359999999999996</v>
      </c>
      <c r="G72" s="5">
        <f>IF(F72="","",ROUNDUP((HLOOKUP("並",単価表!$B$1:$D$2,2,FALSE)*F72)/50,0)*50)</f>
        <v>4050</v>
      </c>
    </row>
    <row r="73" spans="1:7">
      <c r="A73">
        <v>72</v>
      </c>
      <c r="B73">
        <v>495</v>
      </c>
      <c r="C73">
        <v>497</v>
      </c>
      <c r="D73">
        <v>498</v>
      </c>
      <c r="E73">
        <v>499</v>
      </c>
      <c r="F73">
        <v>5.8479999999999999</v>
      </c>
      <c r="G73" s="5">
        <f>IF(F73="","",ROUNDUP((HLOOKUP("並",単価表!$B$1:$D$2,2,FALSE)*F73)/50,0)*50)</f>
        <v>4700</v>
      </c>
    </row>
    <row r="74" spans="1:7">
      <c r="A74">
        <v>73</v>
      </c>
      <c r="B74">
        <v>500</v>
      </c>
      <c r="C74">
        <v>502</v>
      </c>
      <c r="D74">
        <v>503</v>
      </c>
      <c r="F74">
        <v>5.4370000000000003</v>
      </c>
      <c r="G74" s="5">
        <f>IF(F74="","",ROUNDUP((HLOOKUP("並",単価表!$B$1:$D$2,2,FALSE)*F74)/50,0)*50)</f>
        <v>4350</v>
      </c>
    </row>
    <row r="75" spans="1:7">
      <c r="A75">
        <v>74</v>
      </c>
      <c r="B75">
        <v>504</v>
      </c>
      <c r="C75">
        <v>506</v>
      </c>
      <c r="D75">
        <v>507</v>
      </c>
      <c r="F75">
        <v>5.72</v>
      </c>
      <c r="G75" s="5">
        <f>IF(F75="","",ROUNDUP((HLOOKUP("並",単価表!$B$1:$D$2,2,FALSE)*F75)/50,0)*50)</f>
        <v>4600</v>
      </c>
    </row>
    <row r="76" spans="1:7">
      <c r="A76">
        <v>75</v>
      </c>
      <c r="B76">
        <v>509</v>
      </c>
      <c r="C76">
        <v>511</v>
      </c>
      <c r="F76">
        <v>5.0629999999999997</v>
      </c>
      <c r="G76" s="5">
        <f>IF(F76="","",ROUNDUP((HLOOKUP("並",単価表!$B$1:$D$2,2,FALSE)*F76)/50,0)*50)</f>
        <v>4100</v>
      </c>
    </row>
    <row r="77" spans="1:7">
      <c r="A77">
        <v>76</v>
      </c>
      <c r="B77">
        <v>512</v>
      </c>
      <c r="C77">
        <v>513</v>
      </c>
      <c r="D77">
        <v>514</v>
      </c>
      <c r="E77">
        <v>515</v>
      </c>
      <c r="F77">
        <v>4.9160000000000004</v>
      </c>
      <c r="G77" s="5">
        <f>IF(F77="","",ROUNDUP((HLOOKUP("並",単価表!$B$1:$D$2,2,FALSE)*F77)/50,0)*50)</f>
        <v>3950</v>
      </c>
    </row>
    <row r="78" spans="1:7">
      <c r="A78">
        <v>77</v>
      </c>
      <c r="B78">
        <v>519</v>
      </c>
      <c r="C78">
        <v>523</v>
      </c>
      <c r="D78">
        <v>524</v>
      </c>
      <c r="F78">
        <v>5.1080000000000005</v>
      </c>
      <c r="G78" s="5">
        <f>IF(F78="","",ROUNDUP((HLOOKUP("並",単価表!$B$1:$D$2,2,FALSE)*F78)/50,0)*50)</f>
        <v>4100</v>
      </c>
    </row>
    <row r="79" spans="1:7">
      <c r="A79">
        <v>78</v>
      </c>
      <c r="B79">
        <v>525</v>
      </c>
      <c r="C79">
        <v>526</v>
      </c>
      <c r="D79">
        <v>527</v>
      </c>
      <c r="E79">
        <v>530</v>
      </c>
      <c r="F79">
        <v>7.2989999999999995</v>
      </c>
      <c r="G79" s="5">
        <f>IF(F79="","",ROUNDUP((HLOOKUP("並",単価表!$B$1:$D$2,2,FALSE)*F79)/50,0)*50)</f>
        <v>5850</v>
      </c>
    </row>
    <row r="80" spans="1:7">
      <c r="A80">
        <v>79</v>
      </c>
      <c r="B80">
        <v>531</v>
      </c>
      <c r="C80">
        <v>532</v>
      </c>
      <c r="D80">
        <v>533</v>
      </c>
      <c r="F80">
        <v>6.9880000000000004</v>
      </c>
      <c r="G80" s="5">
        <f>IF(F80="","",ROUNDUP((HLOOKUP("並",単価表!$B$1:$D$2,2,FALSE)*F80)/50,0)*50)</f>
        <v>5600</v>
      </c>
    </row>
    <row r="81" spans="1:7">
      <c r="A81">
        <v>80</v>
      </c>
      <c r="B81">
        <v>534</v>
      </c>
      <c r="C81">
        <v>535</v>
      </c>
      <c r="D81">
        <v>536</v>
      </c>
      <c r="F81">
        <v>5.6120000000000001</v>
      </c>
      <c r="G81" s="5">
        <f>IF(F81="","",ROUNDUP((HLOOKUP("並",単価表!$B$1:$D$2,2,FALSE)*F81)/50,0)*50)</f>
        <v>4500</v>
      </c>
    </row>
    <row r="82" spans="1:7">
      <c r="A82">
        <v>81</v>
      </c>
      <c r="B82">
        <v>537</v>
      </c>
      <c r="C82">
        <v>538</v>
      </c>
      <c r="D82">
        <v>542</v>
      </c>
      <c r="E82">
        <v>549</v>
      </c>
      <c r="F82">
        <v>6.7110000000000003</v>
      </c>
      <c r="G82" s="5">
        <f>IF(F82="","",ROUNDUP((HLOOKUP("並",単価表!$B$1:$D$2,2,FALSE)*F82)/50,0)*50)</f>
        <v>5400</v>
      </c>
    </row>
    <row r="83" spans="1:7">
      <c r="A83">
        <v>82</v>
      </c>
      <c r="B83">
        <v>550</v>
      </c>
      <c r="C83">
        <v>551</v>
      </c>
      <c r="D83">
        <v>552</v>
      </c>
      <c r="E83">
        <v>553</v>
      </c>
      <c r="F83">
        <v>5.6599999999999993</v>
      </c>
      <c r="G83" s="5">
        <f>IF(F83="","",ROUNDUP((HLOOKUP("並",単価表!$B$1:$D$2,2,FALSE)*F83)/50,0)*50)</f>
        <v>4550</v>
      </c>
    </row>
    <row r="84" spans="1:7">
      <c r="A84">
        <v>83</v>
      </c>
      <c r="B84">
        <v>555</v>
      </c>
      <c r="C84">
        <v>557</v>
      </c>
      <c r="D84">
        <v>563</v>
      </c>
      <c r="E84">
        <v>570</v>
      </c>
      <c r="F84">
        <v>6.6489999999999991</v>
      </c>
      <c r="G84" s="5">
        <f>IF(F84="","",ROUNDUP((HLOOKUP("並",単価表!$B$1:$D$2,2,FALSE)*F84)/50,0)*50)</f>
        <v>5350</v>
      </c>
    </row>
    <row r="85" spans="1:7">
      <c r="A85">
        <v>84</v>
      </c>
      <c r="B85">
        <v>571</v>
      </c>
      <c r="C85">
        <v>573</v>
      </c>
      <c r="D85">
        <v>575</v>
      </c>
      <c r="E85">
        <v>577</v>
      </c>
      <c r="F85">
        <v>3.3180000000000001</v>
      </c>
      <c r="G85" s="5">
        <f>IF(F85="","",ROUNDUP((HLOOKUP("並",単価表!$B$1:$D$2,2,FALSE)*F85)/50,0)*50)</f>
        <v>2700</v>
      </c>
    </row>
    <row r="86" spans="1:7">
      <c r="A86">
        <v>85</v>
      </c>
      <c r="B86">
        <v>580</v>
      </c>
      <c r="C86">
        <v>583</v>
      </c>
      <c r="D86">
        <v>585</v>
      </c>
      <c r="E86">
        <v>586</v>
      </c>
      <c r="F86">
        <v>5.6790000000000003</v>
      </c>
      <c r="G86" s="5">
        <f>IF(F86="","",ROUNDUP((HLOOKUP("並",単価表!$B$1:$D$2,2,FALSE)*F86)/50,0)*50)</f>
        <v>4550</v>
      </c>
    </row>
    <row r="87" spans="1:7">
      <c r="A87">
        <v>86</v>
      </c>
      <c r="B87">
        <v>587</v>
      </c>
      <c r="C87">
        <v>588</v>
      </c>
      <c r="D87">
        <v>592</v>
      </c>
      <c r="F87">
        <v>5.7810000000000006</v>
      </c>
      <c r="G87" s="5">
        <f>IF(F87="","",ROUNDUP((HLOOKUP("並",単価表!$B$1:$D$2,2,FALSE)*F87)/50,0)*50)</f>
        <v>4650</v>
      </c>
    </row>
    <row r="88" spans="1:7">
      <c r="A88">
        <v>87</v>
      </c>
      <c r="B88">
        <v>594</v>
      </c>
      <c r="C88">
        <v>596</v>
      </c>
      <c r="D88">
        <v>597</v>
      </c>
      <c r="E88">
        <v>598</v>
      </c>
      <c r="F88">
        <v>7.33</v>
      </c>
      <c r="G88" s="5">
        <f>IF(F88="","",ROUNDUP((HLOOKUP("並",単価表!$B$1:$D$2,2,FALSE)*F88)/50,0)*50)</f>
        <v>5900</v>
      </c>
    </row>
    <row r="89" spans="1:7">
      <c r="A89">
        <v>88</v>
      </c>
      <c r="B89">
        <v>599</v>
      </c>
      <c r="C89">
        <v>600</v>
      </c>
      <c r="D89">
        <v>604</v>
      </c>
      <c r="E89">
        <v>605</v>
      </c>
      <c r="F89">
        <v>7.5190000000000001</v>
      </c>
      <c r="G89" s="5">
        <f>IF(F89="","",ROUNDUP((HLOOKUP("並",単価表!$B$1:$D$2,2,FALSE)*F89)/50,0)*50)</f>
        <v>6050</v>
      </c>
    </row>
    <row r="90" spans="1:7">
      <c r="A90">
        <v>89</v>
      </c>
      <c r="B90">
        <v>608</v>
      </c>
      <c r="C90">
        <v>609</v>
      </c>
      <c r="D90">
        <v>610</v>
      </c>
      <c r="E90">
        <v>612</v>
      </c>
      <c r="F90">
        <v>6.2379999999999995</v>
      </c>
      <c r="G90" s="5">
        <f>IF(F90="","",ROUNDUP((HLOOKUP("並",単価表!$B$1:$D$2,2,FALSE)*F90)/50,0)*50)</f>
        <v>5000</v>
      </c>
    </row>
    <row r="91" spans="1:7">
      <c r="A91">
        <v>90</v>
      </c>
      <c r="B91">
        <v>613</v>
      </c>
      <c r="C91">
        <v>614</v>
      </c>
      <c r="D91">
        <v>615</v>
      </c>
      <c r="E91">
        <v>617</v>
      </c>
      <c r="F91">
        <v>6.2059999999999995</v>
      </c>
      <c r="G91" s="5">
        <f>IF(F91="","",ROUNDUP((HLOOKUP("並",単価表!$B$1:$D$2,2,FALSE)*F91)/50,0)*50)</f>
        <v>5000</v>
      </c>
    </row>
    <row r="92" spans="1:7">
      <c r="A92">
        <v>91</v>
      </c>
      <c r="B92">
        <v>621</v>
      </c>
      <c r="C92">
        <v>622</v>
      </c>
      <c r="F92">
        <v>5.16</v>
      </c>
      <c r="G92" s="5">
        <f>IF(F92="","",ROUNDUP((HLOOKUP("並",単価表!$B$1:$D$2,2,FALSE)*F92)/50,0)*50)</f>
        <v>4150</v>
      </c>
    </row>
    <row r="93" spans="1:7">
      <c r="A93">
        <v>92</v>
      </c>
      <c r="B93">
        <v>623</v>
      </c>
      <c r="C93">
        <v>624</v>
      </c>
      <c r="D93">
        <v>625</v>
      </c>
      <c r="E93">
        <v>626</v>
      </c>
      <c r="F93">
        <v>7.1810000000000009</v>
      </c>
      <c r="G93" s="5">
        <f>IF(F93="","",ROUNDUP((HLOOKUP("並",単価表!$B$1:$D$2,2,FALSE)*F93)/50,0)*50)</f>
        <v>5750</v>
      </c>
    </row>
    <row r="94" spans="1:7">
      <c r="A94">
        <v>93</v>
      </c>
      <c r="B94">
        <v>627</v>
      </c>
      <c r="C94">
        <v>628</v>
      </c>
      <c r="D94">
        <v>629</v>
      </c>
      <c r="F94">
        <v>6.9020000000000001</v>
      </c>
      <c r="G94" s="5">
        <f>IF(F94="","",ROUNDUP((HLOOKUP("並",単価表!$B$1:$D$2,2,FALSE)*F94)/50,0)*50)</f>
        <v>5550</v>
      </c>
    </row>
    <row r="95" spans="1:7">
      <c r="A95">
        <v>94</v>
      </c>
      <c r="B95">
        <v>633</v>
      </c>
      <c r="C95">
        <v>634</v>
      </c>
      <c r="D95">
        <v>636</v>
      </c>
      <c r="F95">
        <v>7.05</v>
      </c>
      <c r="G95" s="5">
        <f>IF(F95="","",ROUNDUP((HLOOKUP("並",単価表!$B$1:$D$2,2,FALSE)*F95)/50,0)*50)</f>
        <v>5650</v>
      </c>
    </row>
    <row r="96" spans="1:7">
      <c r="A96">
        <v>95</v>
      </c>
      <c r="B96">
        <v>637</v>
      </c>
      <c r="C96">
        <v>638</v>
      </c>
      <c r="D96">
        <v>639</v>
      </c>
      <c r="F96">
        <v>7.4510000000000005</v>
      </c>
      <c r="G96" s="5">
        <f>IF(F96="","",ROUNDUP((HLOOKUP("並",単価表!$B$1:$D$2,2,FALSE)*F96)/50,0)*50)</f>
        <v>6000</v>
      </c>
    </row>
    <row r="97" spans="1:7">
      <c r="A97">
        <v>96</v>
      </c>
      <c r="B97">
        <v>640</v>
      </c>
      <c r="C97">
        <v>641</v>
      </c>
      <c r="D97">
        <v>642</v>
      </c>
      <c r="F97">
        <v>5.9779999999999998</v>
      </c>
      <c r="G97" s="5">
        <f>IF(F97="","",ROUNDUP((HLOOKUP("並",単価表!$B$1:$D$2,2,FALSE)*F97)/50,0)*50)</f>
        <v>4800</v>
      </c>
    </row>
    <row r="98" spans="1:7">
      <c r="A98">
        <v>97</v>
      </c>
      <c r="B98">
        <v>643</v>
      </c>
      <c r="C98">
        <v>647</v>
      </c>
      <c r="D98">
        <v>648</v>
      </c>
      <c r="F98">
        <v>7.5030000000000001</v>
      </c>
      <c r="G98" s="5">
        <f>IF(F98="","",ROUNDUP((HLOOKUP("並",単価表!$B$1:$D$2,2,FALSE)*F98)/50,0)*50)</f>
        <v>6050</v>
      </c>
    </row>
    <row r="99" spans="1:7">
      <c r="A99">
        <v>98</v>
      </c>
      <c r="B99">
        <v>650</v>
      </c>
      <c r="C99">
        <v>652</v>
      </c>
      <c r="D99">
        <v>653</v>
      </c>
      <c r="E99">
        <v>655</v>
      </c>
      <c r="F99">
        <v>5.4080000000000004</v>
      </c>
      <c r="G99" s="5">
        <f>IF(F99="","",ROUNDUP((HLOOKUP("並",単価表!$B$1:$D$2,2,FALSE)*F99)/50,0)*50)</f>
        <v>4350</v>
      </c>
    </row>
    <row r="100" spans="1:7">
      <c r="A100">
        <v>99</v>
      </c>
      <c r="B100">
        <v>657</v>
      </c>
      <c r="C100">
        <v>660</v>
      </c>
      <c r="D100">
        <v>662</v>
      </c>
      <c r="F100">
        <v>6.5080000000000009</v>
      </c>
      <c r="G100" s="5">
        <f>IF(F100="","",ROUNDUP((HLOOKUP("並",単価表!$B$1:$D$2,2,FALSE)*F100)/50,0)*50)</f>
        <v>5250</v>
      </c>
    </row>
    <row r="101" spans="1:7">
      <c r="A101">
        <v>100</v>
      </c>
      <c r="B101">
        <v>663</v>
      </c>
      <c r="C101">
        <v>664</v>
      </c>
      <c r="D101">
        <v>667</v>
      </c>
      <c r="E101">
        <v>669</v>
      </c>
      <c r="F101">
        <v>5.24</v>
      </c>
      <c r="G101" s="5">
        <f>IF(F101="","",ROUNDUP((HLOOKUP("並",単価表!$B$1:$D$2,2,FALSE)*F101)/50,0)*50)</f>
        <v>4200</v>
      </c>
    </row>
    <row r="102" spans="1:7">
      <c r="A102">
        <v>101</v>
      </c>
      <c r="B102">
        <v>673</v>
      </c>
      <c r="C102">
        <v>677</v>
      </c>
      <c r="D102">
        <v>681</v>
      </c>
      <c r="E102">
        <v>682</v>
      </c>
      <c r="F102">
        <v>7.2149999999999999</v>
      </c>
      <c r="G102" s="5">
        <f>IF(F102="","",ROUNDUP((HLOOKUP("並",単価表!$B$1:$D$2,2,FALSE)*F102)/50,0)*50)</f>
        <v>5800</v>
      </c>
    </row>
    <row r="103" spans="1:7">
      <c r="A103">
        <v>102</v>
      </c>
      <c r="B103">
        <v>683</v>
      </c>
      <c r="C103">
        <v>684</v>
      </c>
      <c r="D103">
        <v>685</v>
      </c>
      <c r="E103">
        <v>686</v>
      </c>
      <c r="F103">
        <v>3.617</v>
      </c>
      <c r="G103" s="5">
        <f>IF(F103="","",ROUNDUP((HLOOKUP("並",単価表!$B$1:$D$2,2,FALSE)*F103)/50,0)*50)</f>
        <v>2900</v>
      </c>
    </row>
    <row r="104" spans="1:7">
      <c r="A104">
        <v>103</v>
      </c>
      <c r="B104">
        <v>687</v>
      </c>
      <c r="C104">
        <v>691</v>
      </c>
      <c r="D104">
        <v>692</v>
      </c>
      <c r="E104">
        <v>694</v>
      </c>
      <c r="F104">
        <v>6.9359999999999999</v>
      </c>
      <c r="G104" s="5">
        <f>IF(F104="","",ROUNDUP((HLOOKUP("並",単価表!$B$1:$D$2,2,FALSE)*F104)/50,0)*50)</f>
        <v>5550</v>
      </c>
    </row>
    <row r="105" spans="1:7">
      <c r="A105">
        <v>104</v>
      </c>
      <c r="B105">
        <v>695</v>
      </c>
      <c r="C105">
        <v>696</v>
      </c>
      <c r="D105">
        <v>698</v>
      </c>
      <c r="E105">
        <v>699</v>
      </c>
      <c r="F105">
        <v>5.6869999999999994</v>
      </c>
      <c r="G105" s="5">
        <f>IF(F105="","",ROUNDUP((HLOOKUP("並",単価表!$B$1:$D$2,2,FALSE)*F105)/50,0)*50)</f>
        <v>4550</v>
      </c>
    </row>
    <row r="106" spans="1:7">
      <c r="A106">
        <v>105</v>
      </c>
      <c r="B106">
        <v>702</v>
      </c>
      <c r="C106">
        <v>703</v>
      </c>
      <c r="D106">
        <v>704</v>
      </c>
      <c r="F106">
        <v>5.1620000000000008</v>
      </c>
      <c r="G106" s="5">
        <f>IF(F106="","",ROUNDUP((HLOOKUP("並",単価表!$B$1:$D$2,2,FALSE)*F106)/50,0)*50)</f>
        <v>4150</v>
      </c>
    </row>
    <row r="107" spans="1:7">
      <c r="A107">
        <v>106</v>
      </c>
      <c r="B107">
        <v>705</v>
      </c>
      <c r="C107">
        <v>706</v>
      </c>
      <c r="D107">
        <v>709</v>
      </c>
      <c r="F107">
        <v>5.3869999999999996</v>
      </c>
      <c r="G107" s="5">
        <f>IF(F107="","",ROUNDUP((HLOOKUP("並",単価表!$B$1:$D$2,2,FALSE)*F107)/50,0)*50)</f>
        <v>4350</v>
      </c>
    </row>
    <row r="108" spans="1:7">
      <c r="A108">
        <v>107</v>
      </c>
      <c r="B108">
        <v>711</v>
      </c>
      <c r="C108">
        <v>713</v>
      </c>
      <c r="F108">
        <v>5.3309999999999995</v>
      </c>
      <c r="G108" s="5">
        <f>IF(F108="","",ROUNDUP((HLOOKUP("並",単価表!$B$1:$D$2,2,FALSE)*F108)/50,0)*50)</f>
        <v>4300</v>
      </c>
    </row>
    <row r="109" spans="1:7">
      <c r="A109">
        <v>108</v>
      </c>
      <c r="B109">
        <v>714</v>
      </c>
      <c r="C109">
        <v>716</v>
      </c>
      <c r="D109">
        <v>719</v>
      </c>
      <c r="F109">
        <v>5.2110000000000003</v>
      </c>
      <c r="G109" s="5">
        <f>IF(F109="","",ROUNDUP((HLOOKUP("並",単価表!$B$1:$D$2,2,FALSE)*F109)/50,0)*50)</f>
        <v>4200</v>
      </c>
    </row>
    <row r="110" spans="1:7">
      <c r="A110">
        <v>109</v>
      </c>
      <c r="B110">
        <v>721</v>
      </c>
      <c r="C110">
        <v>723</v>
      </c>
      <c r="D110">
        <v>724</v>
      </c>
      <c r="F110">
        <v>5.1269999999999998</v>
      </c>
      <c r="G110" s="5">
        <f>IF(F110="","",ROUNDUP((HLOOKUP("並",単価表!$B$1:$D$2,2,FALSE)*F110)/50,0)*50)</f>
        <v>4150</v>
      </c>
    </row>
    <row r="111" spans="1:7">
      <c r="A111">
        <v>110</v>
      </c>
      <c r="B111">
        <v>729</v>
      </c>
      <c r="C111">
        <v>730</v>
      </c>
      <c r="D111">
        <v>731</v>
      </c>
      <c r="F111">
        <v>6.1610000000000005</v>
      </c>
      <c r="G111" s="5">
        <f>IF(F111="","",ROUNDUP((HLOOKUP("並",単価表!$B$1:$D$2,2,FALSE)*F111)/50,0)*50)</f>
        <v>4950</v>
      </c>
    </row>
    <row r="112" spans="1:7">
      <c r="A112">
        <v>111</v>
      </c>
      <c r="B112">
        <v>732</v>
      </c>
      <c r="C112">
        <v>735</v>
      </c>
      <c r="D112">
        <v>736</v>
      </c>
      <c r="F112">
        <v>7.82</v>
      </c>
      <c r="G112" s="5">
        <f>IF(F112="","",ROUNDUP((HLOOKUP("並",単価表!$B$1:$D$2,2,FALSE)*F112)/50,0)*50)</f>
        <v>6300</v>
      </c>
    </row>
    <row r="113" spans="1:7">
      <c r="A113">
        <v>112</v>
      </c>
      <c r="B113">
        <v>739</v>
      </c>
      <c r="C113">
        <v>740</v>
      </c>
      <c r="D113">
        <v>741</v>
      </c>
      <c r="E113">
        <v>747</v>
      </c>
      <c r="F113">
        <v>3.9220000000000002</v>
      </c>
      <c r="G113" s="5">
        <f>IF(F113="","",ROUNDUP((HLOOKUP("並",単価表!$B$1:$D$2,2,FALSE)*F113)/50,0)*50)</f>
        <v>3150</v>
      </c>
    </row>
    <row r="114" spans="1:7">
      <c r="A114">
        <v>113</v>
      </c>
      <c r="B114">
        <v>749</v>
      </c>
      <c r="C114">
        <v>750</v>
      </c>
      <c r="D114">
        <v>751</v>
      </c>
      <c r="F114">
        <v>5.2389999999999999</v>
      </c>
      <c r="G114" s="5">
        <f>IF(F114="","",ROUNDUP((HLOOKUP("並",単価表!$B$1:$D$2,2,FALSE)*F114)/50,0)*50)</f>
        <v>4200</v>
      </c>
    </row>
    <row r="115" spans="1:7">
      <c r="A115">
        <v>114</v>
      </c>
      <c r="B115">
        <v>755</v>
      </c>
      <c r="C115">
        <v>758</v>
      </c>
      <c r="D115">
        <v>762</v>
      </c>
      <c r="E115">
        <v>763</v>
      </c>
      <c r="F115">
        <v>5.3239999999999998</v>
      </c>
      <c r="G115" s="5">
        <f>IF(F115="","",ROUNDUP((HLOOKUP("並",単価表!$B$1:$D$2,2,FALSE)*F115)/50,0)*50)</f>
        <v>4300</v>
      </c>
    </row>
    <row r="116" spans="1:7">
      <c r="A116">
        <v>115</v>
      </c>
      <c r="B116">
        <v>765</v>
      </c>
      <c r="C116">
        <v>768</v>
      </c>
      <c r="D116">
        <v>770</v>
      </c>
      <c r="F116">
        <v>5.0619999999999994</v>
      </c>
      <c r="G116" s="5">
        <f>IF(F116="","",ROUNDUP((HLOOKUP("並",単価表!$B$1:$D$2,2,FALSE)*F116)/50,0)*50)</f>
        <v>4050</v>
      </c>
    </row>
    <row r="117" spans="1:7">
      <c r="A117">
        <v>116</v>
      </c>
      <c r="B117">
        <v>771</v>
      </c>
      <c r="C117">
        <v>772</v>
      </c>
      <c r="D117">
        <v>773</v>
      </c>
      <c r="E117">
        <v>774</v>
      </c>
      <c r="F117">
        <v>4.835</v>
      </c>
      <c r="G117" s="5">
        <f>IF(F117="","",ROUNDUP((HLOOKUP("並",単価表!$B$1:$D$2,2,FALSE)*F117)/50,0)*50)</f>
        <v>3900</v>
      </c>
    </row>
    <row r="118" spans="1:7">
      <c r="A118">
        <v>117</v>
      </c>
      <c r="B118">
        <v>775</v>
      </c>
      <c r="C118">
        <v>777</v>
      </c>
      <c r="D118">
        <v>778</v>
      </c>
      <c r="F118">
        <v>5.74</v>
      </c>
      <c r="G118" s="5">
        <f>IF(F118="","",ROUNDUP((HLOOKUP("並",単価表!$B$1:$D$2,2,FALSE)*F118)/50,0)*50)</f>
        <v>4600</v>
      </c>
    </row>
    <row r="119" spans="1:7">
      <c r="A119">
        <v>118</v>
      </c>
      <c r="B119">
        <v>780</v>
      </c>
      <c r="C119">
        <v>781</v>
      </c>
      <c r="D119">
        <v>782</v>
      </c>
      <c r="E119">
        <v>786</v>
      </c>
      <c r="F119">
        <v>7.0920000000000005</v>
      </c>
      <c r="G119" s="5">
        <f>IF(F119="","",ROUNDUP((HLOOKUP("並",単価表!$B$1:$D$2,2,FALSE)*F119)/50,0)*50)</f>
        <v>5700</v>
      </c>
    </row>
    <row r="120" spans="1:7">
      <c r="A120">
        <v>119</v>
      </c>
      <c r="B120">
        <v>790</v>
      </c>
      <c r="C120">
        <v>791</v>
      </c>
      <c r="D120">
        <v>792</v>
      </c>
      <c r="E120">
        <v>794</v>
      </c>
      <c r="F120">
        <v>6.8520000000000003</v>
      </c>
      <c r="G120" s="5">
        <f>IF(F120="","",ROUNDUP((HLOOKUP("並",単価表!$B$1:$D$2,2,FALSE)*F120)/50,0)*50)</f>
        <v>5500</v>
      </c>
    </row>
    <row r="121" spans="1:7">
      <c r="A121">
        <v>120</v>
      </c>
      <c r="B121">
        <v>795</v>
      </c>
      <c r="C121">
        <v>801</v>
      </c>
      <c r="D121">
        <v>802</v>
      </c>
      <c r="E121">
        <v>805</v>
      </c>
      <c r="F121">
        <v>5.3710000000000004</v>
      </c>
      <c r="G121" s="5">
        <f>IF(F121="","",ROUNDUP((HLOOKUP("並",単価表!$B$1:$D$2,2,FALSE)*F121)/50,0)*50)</f>
        <v>4300</v>
      </c>
    </row>
    <row r="122" spans="1:7">
      <c r="A122">
        <v>121</v>
      </c>
      <c r="B122">
        <v>806</v>
      </c>
      <c r="C122">
        <v>807</v>
      </c>
      <c r="D122">
        <v>808</v>
      </c>
      <c r="F122">
        <v>7.3660000000000005</v>
      </c>
      <c r="G122" s="5">
        <f>IF(F122="","",ROUNDUP((HLOOKUP("並",単価表!$B$1:$D$2,2,FALSE)*F122)/50,0)*50)</f>
        <v>5900</v>
      </c>
    </row>
    <row r="123" spans="1:7">
      <c r="A123">
        <v>122</v>
      </c>
      <c r="B123">
        <v>809</v>
      </c>
      <c r="C123">
        <v>814</v>
      </c>
      <c r="D123">
        <v>817</v>
      </c>
      <c r="E123">
        <v>818</v>
      </c>
      <c r="F123">
        <v>3.6920000000000002</v>
      </c>
      <c r="G123" s="5">
        <f>IF(F123="","",ROUNDUP((HLOOKUP("並",単価表!$B$1:$D$2,2,FALSE)*F123)/50,0)*50)</f>
        <v>3000</v>
      </c>
    </row>
    <row r="124" spans="1:7">
      <c r="A124">
        <v>123</v>
      </c>
      <c r="B124">
        <v>820</v>
      </c>
      <c r="C124">
        <v>822</v>
      </c>
      <c r="D124">
        <v>823</v>
      </c>
      <c r="F124">
        <v>6.2880000000000003</v>
      </c>
      <c r="G124" s="5">
        <f>IF(F124="","",ROUNDUP((HLOOKUP("並",単価表!$B$1:$D$2,2,FALSE)*F124)/50,0)*50)</f>
        <v>5050</v>
      </c>
    </row>
    <row r="125" spans="1:7">
      <c r="A125">
        <v>124</v>
      </c>
      <c r="B125">
        <v>827</v>
      </c>
      <c r="C125">
        <v>828</v>
      </c>
      <c r="D125">
        <v>829</v>
      </c>
      <c r="F125">
        <v>5.4749999999999996</v>
      </c>
      <c r="G125" s="5">
        <f>IF(F125="","",ROUNDUP((HLOOKUP("並",単価表!$B$1:$D$2,2,FALSE)*F125)/50,0)*50)</f>
        <v>4400</v>
      </c>
    </row>
    <row r="126" spans="1:7">
      <c r="A126">
        <v>125</v>
      </c>
      <c r="B126">
        <v>830</v>
      </c>
      <c r="C126">
        <v>831</v>
      </c>
      <c r="D126">
        <v>834</v>
      </c>
      <c r="F126">
        <v>5.8680000000000003</v>
      </c>
      <c r="G126" s="5">
        <f>IF(F126="","",ROUNDUP((HLOOKUP("並",単価表!$B$1:$D$2,2,FALSE)*F126)/50,0)*50)</f>
        <v>4700</v>
      </c>
    </row>
    <row r="127" spans="1:7">
      <c r="A127">
        <v>126</v>
      </c>
      <c r="B127">
        <v>835</v>
      </c>
      <c r="C127">
        <v>837</v>
      </c>
      <c r="D127">
        <v>838</v>
      </c>
      <c r="F127">
        <v>7.2679999999999998</v>
      </c>
      <c r="G127" s="5">
        <f>IF(F127="","",ROUNDUP((HLOOKUP("並",単価表!$B$1:$D$2,2,FALSE)*F127)/50,0)*50)</f>
        <v>5850</v>
      </c>
    </row>
    <row r="128" spans="1:7">
      <c r="A128">
        <v>127</v>
      </c>
      <c r="B128">
        <v>840</v>
      </c>
      <c r="C128">
        <v>843</v>
      </c>
      <c r="D128">
        <v>844</v>
      </c>
      <c r="E128">
        <v>845</v>
      </c>
      <c r="F128">
        <v>6.2510000000000003</v>
      </c>
      <c r="G128" s="5">
        <f>IF(F128="","",ROUNDUP((HLOOKUP("並",単価表!$B$1:$D$2,2,FALSE)*F128)/50,0)*50)</f>
        <v>5050</v>
      </c>
    </row>
    <row r="129" spans="1:7">
      <c r="A129">
        <v>128</v>
      </c>
      <c r="B129">
        <v>847</v>
      </c>
      <c r="C129">
        <v>848</v>
      </c>
      <c r="D129">
        <v>850</v>
      </c>
      <c r="E129">
        <v>855</v>
      </c>
      <c r="F129">
        <v>5.2919999999999998</v>
      </c>
      <c r="G129" s="5">
        <f>IF(F129="","",ROUNDUP((HLOOKUP("並",単価表!$B$1:$D$2,2,FALSE)*F129)/50,0)*50)</f>
        <v>4250</v>
      </c>
    </row>
    <row r="130" spans="1:7">
      <c r="A130">
        <v>129</v>
      </c>
      <c r="B130">
        <v>857</v>
      </c>
      <c r="C130">
        <v>862</v>
      </c>
      <c r="D130">
        <v>863</v>
      </c>
      <c r="E130">
        <v>867</v>
      </c>
      <c r="F130">
        <v>5.5330000000000004</v>
      </c>
      <c r="G130" s="5">
        <f>IF(F130="","",ROUNDUP((HLOOKUP("並",単価表!$B$1:$D$2,2,FALSE)*F130)/50,0)*50)</f>
        <v>4450</v>
      </c>
    </row>
    <row r="131" spans="1:7">
      <c r="A131">
        <v>130</v>
      </c>
      <c r="B131">
        <v>868</v>
      </c>
      <c r="C131">
        <v>869</v>
      </c>
      <c r="D131">
        <v>870</v>
      </c>
      <c r="E131">
        <v>871</v>
      </c>
      <c r="F131">
        <v>5.7690000000000001</v>
      </c>
      <c r="G131" s="5">
        <f>IF(F131="","",ROUNDUP((HLOOKUP("並",単価表!$B$1:$D$2,2,FALSE)*F131)/50,0)*50)</f>
        <v>4650</v>
      </c>
    </row>
    <row r="132" spans="1:7">
      <c r="A132">
        <v>131</v>
      </c>
      <c r="B132">
        <v>872</v>
      </c>
      <c r="C132">
        <v>873</v>
      </c>
      <c r="D132">
        <v>874</v>
      </c>
      <c r="F132">
        <v>5.0780000000000003</v>
      </c>
      <c r="G132" s="5">
        <f>IF(F132="","",ROUNDUP((HLOOKUP("並",単価表!$B$1:$D$2,2,FALSE)*F132)/50,0)*50)</f>
        <v>4100</v>
      </c>
    </row>
    <row r="133" spans="1:7">
      <c r="A133">
        <v>132</v>
      </c>
      <c r="B133">
        <v>876</v>
      </c>
      <c r="C133">
        <v>877</v>
      </c>
      <c r="D133">
        <v>880</v>
      </c>
      <c r="F133">
        <v>5.7639999999999993</v>
      </c>
      <c r="G133" s="5">
        <f>IF(F133="","",ROUNDUP((HLOOKUP("並",単価表!$B$1:$D$2,2,FALSE)*F133)/50,0)*50)</f>
        <v>4650</v>
      </c>
    </row>
    <row r="134" spans="1:7">
      <c r="A134">
        <v>133</v>
      </c>
      <c r="B134">
        <v>881</v>
      </c>
      <c r="C134">
        <v>882</v>
      </c>
      <c r="D134">
        <v>883</v>
      </c>
      <c r="F134">
        <v>5.9239999999999995</v>
      </c>
      <c r="G134" s="5">
        <f>IF(F134="","",ROUNDUP((HLOOKUP("並",単価表!$B$1:$D$2,2,FALSE)*F134)/50,0)*50)</f>
        <v>4750</v>
      </c>
    </row>
    <row r="135" spans="1:7">
      <c r="A135">
        <v>134</v>
      </c>
      <c r="B135">
        <v>884</v>
      </c>
      <c r="C135">
        <v>885</v>
      </c>
      <c r="D135">
        <v>888</v>
      </c>
      <c r="E135">
        <v>890</v>
      </c>
      <c r="F135">
        <v>6.8479999999999999</v>
      </c>
      <c r="G135" s="5">
        <f>IF(F135="","",ROUNDUP((HLOOKUP("並",単価表!$B$1:$D$2,2,FALSE)*F135)/50,0)*50)</f>
        <v>5500</v>
      </c>
    </row>
    <row r="136" spans="1:7">
      <c r="A136">
        <v>135</v>
      </c>
      <c r="B136">
        <v>891</v>
      </c>
      <c r="C136">
        <v>892</v>
      </c>
      <c r="D136">
        <v>893</v>
      </c>
      <c r="F136">
        <v>5.5709999999999997</v>
      </c>
      <c r="G136" s="5">
        <f>IF(F136="","",ROUNDUP((HLOOKUP("並",単価表!$B$1:$D$2,2,FALSE)*F136)/50,0)*50)</f>
        <v>4500</v>
      </c>
    </row>
    <row r="137" spans="1:7">
      <c r="A137">
        <v>136</v>
      </c>
      <c r="B137">
        <v>894</v>
      </c>
      <c r="C137">
        <v>895</v>
      </c>
      <c r="D137">
        <v>896</v>
      </c>
      <c r="F137">
        <v>5.3220000000000001</v>
      </c>
      <c r="G137" s="5">
        <f>IF(F137="","",ROUNDUP((HLOOKUP("並",単価表!$B$1:$D$2,2,FALSE)*F137)/50,0)*50)</f>
        <v>4300</v>
      </c>
    </row>
    <row r="138" spans="1:7">
      <c r="A138">
        <v>137</v>
      </c>
      <c r="B138">
        <v>900</v>
      </c>
      <c r="C138">
        <v>901</v>
      </c>
      <c r="F138">
        <v>5.0019999999999998</v>
      </c>
      <c r="G138" s="5">
        <f>IF(F138="","",ROUNDUP((HLOOKUP("並",単価表!$B$1:$D$2,2,FALSE)*F138)/50,0)*50)</f>
        <v>4050</v>
      </c>
    </row>
    <row r="139" spans="1:7">
      <c r="A139">
        <v>138</v>
      </c>
      <c r="B139">
        <v>902</v>
      </c>
      <c r="C139">
        <v>903</v>
      </c>
      <c r="D139">
        <v>904</v>
      </c>
      <c r="F139">
        <v>7.1019999999999985</v>
      </c>
      <c r="G139" s="5">
        <f>IF(F139="","",ROUNDUP((HLOOKUP("並",単価表!$B$1:$D$2,2,FALSE)*F139)/50,0)*50)</f>
        <v>5700</v>
      </c>
    </row>
    <row r="140" spans="1:7">
      <c r="A140">
        <v>139</v>
      </c>
      <c r="B140">
        <v>905</v>
      </c>
      <c r="C140">
        <v>906</v>
      </c>
      <c r="D140">
        <v>908</v>
      </c>
      <c r="F140">
        <v>6.1240000000000006</v>
      </c>
      <c r="G140" s="5">
        <f>IF(F140="","",ROUNDUP((HLOOKUP("並",単価表!$B$1:$D$2,2,FALSE)*F140)/50,0)*50)</f>
        <v>4900</v>
      </c>
    </row>
    <row r="141" spans="1:7">
      <c r="A141">
        <v>140</v>
      </c>
      <c r="B141">
        <v>912</v>
      </c>
      <c r="C141">
        <v>913</v>
      </c>
      <c r="D141">
        <v>914</v>
      </c>
      <c r="F141">
        <v>6.157</v>
      </c>
      <c r="G141" s="5">
        <f>IF(F141="","",ROUNDUP((HLOOKUP("並",単価表!$B$1:$D$2,2,FALSE)*F141)/50,0)*50)</f>
        <v>4950</v>
      </c>
    </row>
    <row r="142" spans="1:7">
      <c r="A142">
        <v>141</v>
      </c>
      <c r="B142">
        <v>915</v>
      </c>
      <c r="C142">
        <v>916</v>
      </c>
      <c r="D142">
        <v>918</v>
      </c>
      <c r="F142">
        <v>6.5780000000000003</v>
      </c>
      <c r="G142" s="5">
        <f>IF(F142="","",ROUNDUP((HLOOKUP("並",単価表!$B$1:$D$2,2,FALSE)*F142)/50,0)*50)</f>
        <v>5300</v>
      </c>
    </row>
    <row r="143" spans="1:7">
      <c r="A143">
        <v>142</v>
      </c>
      <c r="B143">
        <v>921</v>
      </c>
      <c r="C143">
        <v>924</v>
      </c>
      <c r="D143">
        <v>925</v>
      </c>
      <c r="F143">
        <v>6.5190000000000001</v>
      </c>
      <c r="G143" s="5">
        <f>IF(F143="","",ROUNDUP((HLOOKUP("並",単価表!$B$1:$D$2,2,FALSE)*F143)/50,0)*50)</f>
        <v>5250</v>
      </c>
    </row>
    <row r="144" spans="1:7">
      <c r="A144">
        <v>143</v>
      </c>
      <c r="B144">
        <v>929</v>
      </c>
      <c r="C144">
        <v>930</v>
      </c>
      <c r="D144">
        <v>932</v>
      </c>
      <c r="E144">
        <v>933</v>
      </c>
      <c r="F144">
        <v>7.1950000000000003</v>
      </c>
      <c r="G144" s="5">
        <f>IF(F144="","",ROUNDUP((HLOOKUP("並",単価表!$B$1:$D$2,2,FALSE)*F144)/50,0)*50)</f>
        <v>5800</v>
      </c>
    </row>
    <row r="145" spans="1:7">
      <c r="A145">
        <v>144</v>
      </c>
      <c r="B145">
        <v>935</v>
      </c>
      <c r="C145">
        <v>937</v>
      </c>
      <c r="D145">
        <v>939</v>
      </c>
      <c r="F145">
        <v>7.1120000000000001</v>
      </c>
      <c r="G145" s="5">
        <f>IF(F145="","",ROUNDUP((HLOOKUP("並",単価表!$B$1:$D$2,2,FALSE)*F145)/50,0)*50)</f>
        <v>5700</v>
      </c>
    </row>
    <row r="146" spans="1:7">
      <c r="A146">
        <v>145</v>
      </c>
      <c r="B146">
        <v>940</v>
      </c>
      <c r="C146">
        <v>942</v>
      </c>
      <c r="D146">
        <v>944</v>
      </c>
      <c r="F146">
        <v>5.4429999999999996</v>
      </c>
      <c r="G146" s="5">
        <f>IF(F146="","",ROUNDUP((HLOOKUP("並",単価表!$B$1:$D$2,2,FALSE)*F146)/50,0)*50)</f>
        <v>4400</v>
      </c>
    </row>
    <row r="147" spans="1:7">
      <c r="A147">
        <v>146</v>
      </c>
      <c r="B147">
        <v>946</v>
      </c>
      <c r="C147">
        <v>948</v>
      </c>
      <c r="D147">
        <v>949</v>
      </c>
      <c r="E147">
        <v>950</v>
      </c>
      <c r="F147">
        <v>7.1360000000000001</v>
      </c>
      <c r="G147" s="5">
        <f>IF(F147="","",ROUNDUP((HLOOKUP("並",単価表!$B$1:$D$2,2,FALSE)*F147)/50,0)*50)</f>
        <v>5750</v>
      </c>
    </row>
    <row r="148" spans="1:7">
      <c r="A148">
        <v>147</v>
      </c>
      <c r="B148">
        <v>951</v>
      </c>
      <c r="C148">
        <v>953</v>
      </c>
      <c r="D148">
        <v>954</v>
      </c>
      <c r="F148">
        <v>7.4340000000000002</v>
      </c>
      <c r="G148" s="5">
        <f>IF(F148="","",ROUNDUP((HLOOKUP("並",単価表!$B$1:$D$2,2,FALSE)*F148)/50,0)*50)</f>
        <v>5950</v>
      </c>
    </row>
    <row r="149" spans="1:7">
      <c r="A149">
        <v>148</v>
      </c>
      <c r="B149">
        <v>955</v>
      </c>
      <c r="C149">
        <v>957</v>
      </c>
      <c r="D149">
        <v>958</v>
      </c>
      <c r="E149">
        <v>960</v>
      </c>
      <c r="F149">
        <v>6.1280000000000001</v>
      </c>
      <c r="G149" s="5">
        <f>IF(F149="","",ROUNDUP((HLOOKUP("並",単価表!$B$1:$D$2,2,FALSE)*F149)/50,0)*50)</f>
        <v>4950</v>
      </c>
    </row>
    <row r="150" spans="1:7">
      <c r="A150">
        <v>149</v>
      </c>
      <c r="B150">
        <v>962</v>
      </c>
      <c r="C150">
        <v>963</v>
      </c>
      <c r="D150">
        <v>964</v>
      </c>
      <c r="E150">
        <v>965</v>
      </c>
      <c r="F150">
        <v>4.99</v>
      </c>
      <c r="G150" s="5">
        <f>IF(F150="","",ROUNDUP((HLOOKUP("並",単価表!$B$1:$D$2,2,FALSE)*F150)/50,0)*50)</f>
        <v>4000</v>
      </c>
    </row>
    <row r="151" spans="1:7">
      <c r="A151">
        <v>150</v>
      </c>
      <c r="B151">
        <v>967</v>
      </c>
      <c r="C151">
        <v>968</v>
      </c>
      <c r="D151">
        <v>970</v>
      </c>
      <c r="F151">
        <v>5.0419999999999998</v>
      </c>
      <c r="G151" s="5">
        <f>IF(F151="","",ROUNDUP((HLOOKUP("並",単価表!$B$1:$D$2,2,FALSE)*F151)/50,0)*50)</f>
        <v>4050</v>
      </c>
    </row>
    <row r="152" spans="1:7">
      <c r="A152">
        <v>151</v>
      </c>
      <c r="B152">
        <v>976</v>
      </c>
      <c r="C152">
        <v>977</v>
      </c>
      <c r="D152">
        <v>978</v>
      </c>
      <c r="E152">
        <v>980</v>
      </c>
      <c r="F152">
        <v>7.4640000000000004</v>
      </c>
      <c r="G152" s="5">
        <f>IF(F152="","",ROUNDUP((HLOOKUP("並",単価表!$B$1:$D$2,2,FALSE)*F152)/50,0)*50)</f>
        <v>6000</v>
      </c>
    </row>
    <row r="153" spans="1:7">
      <c r="A153">
        <v>152</v>
      </c>
      <c r="B153">
        <v>981</v>
      </c>
      <c r="C153">
        <v>982</v>
      </c>
      <c r="D153">
        <v>984</v>
      </c>
      <c r="F153">
        <v>6.4310000000000009</v>
      </c>
      <c r="G153" s="5">
        <f>IF(F153="","",ROUNDUP((HLOOKUP("並",単価表!$B$1:$D$2,2,FALSE)*F153)/50,0)*50)</f>
        <v>5150</v>
      </c>
    </row>
    <row r="154" spans="1:7">
      <c r="A154">
        <v>153</v>
      </c>
      <c r="B154">
        <v>985</v>
      </c>
      <c r="C154">
        <v>986</v>
      </c>
      <c r="D154">
        <v>987</v>
      </c>
      <c r="F154">
        <v>7.1989999999999998</v>
      </c>
      <c r="G154" s="5">
        <f>IF(F154="","",ROUNDUP((HLOOKUP("並",単価表!$B$1:$D$2,2,FALSE)*F154)/50,0)*50)</f>
        <v>5800</v>
      </c>
    </row>
    <row r="155" spans="1:7">
      <c r="A155">
        <v>154</v>
      </c>
      <c r="B155">
        <v>988</v>
      </c>
      <c r="C155">
        <v>989</v>
      </c>
      <c r="F155">
        <v>5.1230000000000002</v>
      </c>
      <c r="G155" s="5">
        <f>IF(F155="","",ROUNDUP((HLOOKUP("並",単価表!$B$1:$D$2,2,FALSE)*F155)/50,0)*50)</f>
        <v>4100</v>
      </c>
    </row>
    <row r="156" spans="1:7">
      <c r="A156">
        <v>155</v>
      </c>
      <c r="B156">
        <v>990</v>
      </c>
      <c r="C156">
        <v>991</v>
      </c>
      <c r="D156">
        <v>993</v>
      </c>
      <c r="F156">
        <v>5.5750000000000002</v>
      </c>
      <c r="G156" s="5">
        <f>IF(F156="","",ROUNDUP((HLOOKUP("並",単価表!$B$1:$D$2,2,FALSE)*F156)/50,0)*50)</f>
        <v>4500</v>
      </c>
    </row>
    <row r="157" spans="1:7">
      <c r="A157">
        <v>156</v>
      </c>
      <c r="B157">
        <v>995</v>
      </c>
      <c r="C157">
        <v>996</v>
      </c>
      <c r="D157">
        <v>997</v>
      </c>
      <c r="F157">
        <v>5.8840000000000003</v>
      </c>
      <c r="G157" s="5">
        <f>IF(F157="","",ROUNDUP((HLOOKUP("並",単価表!$B$1:$D$2,2,FALSE)*F157)/50,0)*50)</f>
        <v>4750</v>
      </c>
    </row>
    <row r="158" spans="1:7">
      <c r="G158" s="5" t="str">
        <f>IF(F158="","",ROUNDUP((HLOOKUP("並",単価表!$B$1:$D$2,2,FALSE)*F158)/50,0)*50)</f>
        <v/>
      </c>
    </row>
    <row r="159" spans="1:7">
      <c r="G159" s="5" t="str">
        <f>IF(F159="","",ROUNDUP((HLOOKUP("並",単価表!$B$1:$D$2,2,FALSE)*F159)/50,0)*50)</f>
        <v/>
      </c>
    </row>
    <row r="160" spans="1:7">
      <c r="G160" s="5" t="str">
        <f>IF(F160="","",ROUNDUP((HLOOKUP("並",単価表!$B$1:$D$2,2,FALSE)*F160)/50,0)*50)</f>
        <v/>
      </c>
    </row>
    <row r="161" spans="7:7">
      <c r="G161" s="5" t="str">
        <f>IF(F161="","",ROUNDUP((HLOOKUP("並",単価表!$B$1:$D$2,2,FALSE)*F161)/50,0)*50)</f>
        <v/>
      </c>
    </row>
    <row r="162" spans="7:7">
      <c r="G162" s="5" t="str">
        <f>IF(F162="","",ROUNDUP((HLOOKUP("並",単価表!$B$1:$D$2,2,FALSE)*F162)/50,0)*50)</f>
        <v/>
      </c>
    </row>
    <row r="163" spans="7:7">
      <c r="G163" s="5" t="str">
        <f>IF(F163="","",ROUNDUP((HLOOKUP("並",単価表!$B$1:$D$2,2,FALSE)*F163)/50,0)*50)</f>
        <v/>
      </c>
    </row>
    <row r="164" spans="7:7">
      <c r="G164" s="5" t="str">
        <f>IF(F164="","",ROUNDUP((HLOOKUP("並",単価表!$B$1:$D$2,2,FALSE)*F164)/50,0)*50)</f>
        <v/>
      </c>
    </row>
    <row r="165" spans="7:7">
      <c r="G165" s="5" t="str">
        <f>IF(F165="","",ROUNDUP((HLOOKUP("並",単価表!$B$1:$D$2,2,FALSE)*F165)/50,0)*50)</f>
        <v/>
      </c>
    </row>
    <row r="166" spans="7:7">
      <c r="G166" s="5" t="str">
        <f>IF(F166="","",ROUNDUP((HLOOKUP("並",単価表!$B$1:$D$2,2,FALSE)*F166)/50,0)*50)</f>
        <v/>
      </c>
    </row>
    <row r="167" spans="7:7">
      <c r="G167" s="5" t="str">
        <f>IF(F167="","",ROUNDUP((HLOOKUP("並",単価表!$B$1:$D$2,2,FALSE)*F167)/50,0)*50)</f>
        <v/>
      </c>
    </row>
    <row r="168" spans="7:7">
      <c r="G168" s="5" t="str">
        <f>IF(F168="","",ROUNDUP((HLOOKUP("並",単価表!$B$1:$D$2,2,FALSE)*F168)/50,0)*50)</f>
        <v/>
      </c>
    </row>
    <row r="169" spans="7:7">
      <c r="G169" s="5" t="str">
        <f>IF(F169="","",ROUNDUP((HLOOKUP("並",単価表!$B$1:$D$2,2,FALSE)*F169)/50,0)*50)</f>
        <v/>
      </c>
    </row>
    <row r="170" spans="7:7">
      <c r="G170" s="5" t="str">
        <f>IF(F170="","",ROUNDUP((HLOOKUP("並",単価表!$B$1:$D$2,2,FALSE)*F170)/50,0)*50)</f>
        <v/>
      </c>
    </row>
    <row r="171" spans="7:7">
      <c r="G171" s="5" t="str">
        <f>IF(F171="","",ROUNDUP((HLOOKUP("並",単価表!$B$1:$D$2,2,FALSE)*F171)/50,0)*50)</f>
        <v/>
      </c>
    </row>
    <row r="172" spans="7:7">
      <c r="G172" s="5" t="str">
        <f>IF(F172="","",ROUNDUP((HLOOKUP("並",単価表!$B$1:$D$2,2,FALSE)*F172)/50,0)*50)</f>
        <v/>
      </c>
    </row>
    <row r="173" spans="7:7">
      <c r="G173" s="5" t="str">
        <f>IF(F173="","",ROUNDUP((HLOOKUP("並",単価表!$B$1:$D$2,2,FALSE)*F173)/50,0)*50)</f>
        <v/>
      </c>
    </row>
    <row r="174" spans="7:7">
      <c r="G174" s="5" t="str">
        <f>IF(F174="","",ROUNDUP((HLOOKUP("並",単価表!$B$1:$D$2,2,FALSE)*F174)/50,0)*50)</f>
        <v/>
      </c>
    </row>
    <row r="175" spans="7:7">
      <c r="G175" s="5" t="str">
        <f>IF(F175="","",ROUNDUP((HLOOKUP("並",単価表!$B$1:$D$2,2,FALSE)*F175)/50,0)*50)</f>
        <v/>
      </c>
    </row>
    <row r="176" spans="7:7">
      <c r="G176" s="5" t="str">
        <f>IF(F176="","",ROUNDUP((HLOOKUP("並",単価表!$B$1:$D$2,2,FALSE)*F176)/50,0)*50)</f>
        <v/>
      </c>
    </row>
    <row r="177" spans="7:7">
      <c r="G177" s="5" t="str">
        <f>IF(F177="","",ROUNDUP((HLOOKUP("並",単価表!$B$1:$D$2,2,FALSE)*F177)/50,0)*50)</f>
        <v/>
      </c>
    </row>
    <row r="178" spans="7:7">
      <c r="G178" s="5" t="str">
        <f>IF(F178="","",ROUNDUP((HLOOKUP("並",単価表!$B$1:$D$2,2,FALSE)*F178)/50,0)*50)</f>
        <v/>
      </c>
    </row>
    <row r="179" spans="7:7">
      <c r="G179" s="5" t="str">
        <f>IF(F179="","",ROUNDUP((HLOOKUP("並",単価表!$B$1:$D$2,2,FALSE)*F179)/50,0)*50)</f>
        <v/>
      </c>
    </row>
    <row r="180" spans="7:7">
      <c r="G180" s="5" t="str">
        <f>IF(F180="","",ROUNDUP((HLOOKUP("並",単価表!$B$1:$D$2,2,FALSE)*F180)/50,0)*50)</f>
        <v/>
      </c>
    </row>
    <row r="181" spans="7:7">
      <c r="G181" s="5" t="str">
        <f>IF(F181="","",ROUNDUP((HLOOKUP("並",単価表!$B$1:$D$2,2,FALSE)*F181)/50,0)*50)</f>
        <v/>
      </c>
    </row>
    <row r="182" spans="7:7">
      <c r="G182" s="5" t="str">
        <f>IF(F182="","",ROUNDUP((HLOOKUP("並",単価表!$B$1:$D$2,2,FALSE)*F182)/50,0)*50)</f>
        <v/>
      </c>
    </row>
    <row r="183" spans="7:7">
      <c r="G183" s="5" t="str">
        <f>IF(F183="","",ROUNDUP((HLOOKUP("並",単価表!$B$1:$D$2,2,FALSE)*F183)/50,0)*50)</f>
        <v/>
      </c>
    </row>
    <row r="184" spans="7:7">
      <c r="G184" s="5" t="str">
        <f>IF(F184="","",ROUNDUP((HLOOKUP("並",単価表!$B$1:$D$2,2,FALSE)*F184)/50,0)*50)</f>
        <v/>
      </c>
    </row>
    <row r="185" spans="7:7">
      <c r="G185" s="5" t="str">
        <f>IF(F185="","",ROUNDUP((HLOOKUP("並",単価表!$B$1:$D$2,2,FALSE)*F185)/50,0)*50)</f>
        <v/>
      </c>
    </row>
    <row r="186" spans="7:7">
      <c r="G186" s="5" t="str">
        <f>IF(F186="","",ROUNDUP((HLOOKUP("並",単価表!$B$1:$D$2,2,FALSE)*F186)/50,0)*50)</f>
        <v/>
      </c>
    </row>
    <row r="187" spans="7:7">
      <c r="G187" s="5" t="str">
        <f>IF(F187="","",ROUNDUP((HLOOKUP("並",単価表!$B$1:$D$2,2,FALSE)*F187)/50,0)*50)</f>
        <v/>
      </c>
    </row>
    <row r="188" spans="7:7">
      <c r="G188" s="5" t="str">
        <f>IF(F188="","",ROUNDUP((HLOOKUP("並",単価表!$B$1:$D$2,2,FALSE)*F188)/50,0)*50)</f>
        <v/>
      </c>
    </row>
    <row r="189" spans="7:7">
      <c r="G189" s="5" t="str">
        <f>IF(F189="","",ROUNDUP((HLOOKUP("並",単価表!$B$1:$D$2,2,FALSE)*F189)/50,0)*50)</f>
        <v/>
      </c>
    </row>
    <row r="190" spans="7:7">
      <c r="G190" s="5" t="str">
        <f>IF(F190="","",ROUNDUP((HLOOKUP("並",単価表!$B$1:$D$2,2,FALSE)*F190)/50,0)*50)</f>
        <v/>
      </c>
    </row>
    <row r="191" spans="7:7">
      <c r="G191" s="5" t="str">
        <f>IF(F191="","",ROUNDUP((HLOOKUP("並",単価表!$B$1:$D$2,2,FALSE)*F191)/50,0)*50)</f>
        <v/>
      </c>
    </row>
    <row r="192" spans="7:7">
      <c r="G192" s="5" t="str">
        <f>IF(F192="","",ROUNDUP((HLOOKUP("並",単価表!$B$1:$D$2,2,FALSE)*F192)/50,0)*50)</f>
        <v/>
      </c>
    </row>
    <row r="193" spans="7:7">
      <c r="G193" s="5" t="str">
        <f>IF(F193="","",ROUNDUP((HLOOKUP("並",単価表!$B$1:$D$2,2,FALSE)*F193)/50,0)*50)</f>
        <v/>
      </c>
    </row>
    <row r="194" spans="7:7">
      <c r="G194" s="5" t="str">
        <f>IF(F194="","",ROUNDUP((HLOOKUP("並",単価表!$B$1:$D$2,2,FALSE)*F194)/50,0)*50)</f>
        <v/>
      </c>
    </row>
    <row r="195" spans="7:7">
      <c r="G195" s="5" t="str">
        <f>IF(F195="","",ROUNDUP((HLOOKUP("並",単価表!$B$1:$D$2,2,FALSE)*F195)/50,0)*50)</f>
        <v/>
      </c>
    </row>
    <row r="196" spans="7:7">
      <c r="G196" s="5" t="str">
        <f>IF(F196="","",ROUNDUP((HLOOKUP("並",単価表!$B$1:$D$2,2,FALSE)*F196)/50,0)*50)</f>
        <v/>
      </c>
    </row>
    <row r="197" spans="7:7">
      <c r="G197" s="5" t="str">
        <f>IF(F197="","",ROUNDUP((HLOOKUP("並",単価表!$B$1:$D$2,2,FALSE)*F197)/50,0)*50)</f>
        <v/>
      </c>
    </row>
    <row r="198" spans="7:7">
      <c r="G198" s="5" t="str">
        <f>IF(F198="","",ROUNDUP((HLOOKUP("並",単価表!$B$1:$D$2,2,FALSE)*F198)/50,0)*50)</f>
        <v/>
      </c>
    </row>
    <row r="199" spans="7:7">
      <c r="G199" s="5" t="str">
        <f>IF(F199="","",ROUNDUP((HLOOKUP("並",単価表!$B$1:$D$2,2,FALSE)*F199)/50,0)*50)</f>
        <v/>
      </c>
    </row>
    <row r="200" spans="7:7">
      <c r="G200" s="5" t="str">
        <f>IF(F200="","",ROUNDUP((HLOOKUP("並",単価表!$B$1:$D$2,2,FALSE)*F200)/50,0)*50)</f>
        <v/>
      </c>
    </row>
    <row r="201" spans="7:7">
      <c r="G201" s="5" t="str">
        <f>IF(F201="","",ROUNDUP((HLOOKUP("並",単価表!$B$1:$D$2,2,FALSE)*F201)/50,0)*50)</f>
        <v/>
      </c>
    </row>
    <row r="202" spans="7:7">
      <c r="G202" s="5" t="str">
        <f>IF(F202="","",ROUNDUP((HLOOKUP("並",単価表!$B$1:$D$2,2,FALSE)*F202)/50,0)*50)</f>
        <v/>
      </c>
    </row>
    <row r="203" spans="7:7">
      <c r="G203" s="5" t="str">
        <f>IF(F203="","",ROUNDUP((HLOOKUP("並",単価表!$B$1:$D$2,2,FALSE)*F203)/50,0)*50)</f>
        <v/>
      </c>
    </row>
    <row r="204" spans="7:7">
      <c r="G204" s="5" t="str">
        <f>IF(F204="","",ROUNDUP((HLOOKUP("並",単価表!$B$1:$D$2,2,FALSE)*F204)/50,0)*50)</f>
        <v/>
      </c>
    </row>
    <row r="205" spans="7:7">
      <c r="G205" s="5" t="str">
        <f>IF(F205="","",ROUNDUP((HLOOKUP("並",単価表!$B$1:$D$2,2,FALSE)*F205)/50,0)*50)</f>
        <v/>
      </c>
    </row>
    <row r="206" spans="7:7">
      <c r="G206" s="5" t="str">
        <f>IF(F206="","",ROUNDUP((HLOOKUP("並",単価表!$B$1:$D$2,2,FALSE)*F206)/50,0)*50)</f>
        <v/>
      </c>
    </row>
    <row r="207" spans="7:7">
      <c r="G207" s="5" t="str">
        <f>IF(F207="","",ROUNDUP((HLOOKUP("並",単価表!$B$1:$D$2,2,FALSE)*F207)/50,0)*50)</f>
        <v/>
      </c>
    </row>
    <row r="208" spans="7:7">
      <c r="G208" s="5" t="str">
        <f>IF(F208="","",ROUNDUP((HLOOKUP("並",単価表!$B$1:$D$2,2,FALSE)*F208)/50,0)*50)</f>
        <v/>
      </c>
    </row>
    <row r="209" spans="7:7">
      <c r="G209" s="5" t="str">
        <f>IF(F209="","",ROUNDUP((HLOOKUP("並",単価表!$B$1:$D$2,2,FALSE)*F209)/50,0)*50)</f>
        <v/>
      </c>
    </row>
    <row r="210" spans="7:7">
      <c r="G210" s="5" t="str">
        <f>IF(F210="","",ROUNDUP((HLOOKUP("並",単価表!$B$1:$D$2,2,FALSE)*F210)/50,0)*50)</f>
        <v/>
      </c>
    </row>
    <row r="211" spans="7:7">
      <c r="G211" s="5" t="str">
        <f>IF(F211="","",ROUNDUP((HLOOKUP("並",単価表!$B$1:$D$2,2,FALSE)*F211)/50,0)*50)</f>
        <v/>
      </c>
    </row>
    <row r="212" spans="7:7">
      <c r="G212" s="5" t="str">
        <f>IF(F212="","",ROUNDUP((HLOOKUP("並",単価表!$B$1:$D$2,2,FALSE)*F212)/50,0)*50)</f>
        <v/>
      </c>
    </row>
    <row r="213" spans="7:7">
      <c r="G213" s="5" t="str">
        <f>IF(F213="","",ROUNDUP((HLOOKUP("並",単価表!$B$1:$D$2,2,FALSE)*F213)/50,0)*50)</f>
        <v/>
      </c>
    </row>
    <row r="214" spans="7:7">
      <c r="G214" s="5" t="str">
        <f>IF(F214="","",ROUNDUP((HLOOKUP("並",単価表!$B$1:$D$2,2,FALSE)*F214)/50,0)*50)</f>
        <v/>
      </c>
    </row>
    <row r="215" spans="7:7">
      <c r="G215" s="5" t="str">
        <f>IF(F215="","",ROUNDUP((HLOOKUP("並",単価表!$B$1:$D$2,2,FALSE)*F215)/50,0)*50)</f>
        <v/>
      </c>
    </row>
    <row r="216" spans="7:7">
      <c r="G216" s="5" t="str">
        <f>IF(F216="","",ROUNDUP((HLOOKUP("並",単価表!$B$1:$D$2,2,FALSE)*F216)/50,0)*50)</f>
        <v/>
      </c>
    </row>
    <row r="217" spans="7:7">
      <c r="G217" s="5" t="str">
        <f>IF(F217="","",ROUNDUP((HLOOKUP("並",単価表!$B$1:$D$2,2,FALSE)*F217)/50,0)*50)</f>
        <v/>
      </c>
    </row>
    <row r="218" spans="7:7">
      <c r="G218" s="5" t="str">
        <f>IF(F218="","",ROUNDUP((HLOOKUP("並",単価表!$B$1:$D$2,2,FALSE)*F218)/50,0)*50)</f>
        <v/>
      </c>
    </row>
    <row r="219" spans="7:7">
      <c r="G219" s="5" t="str">
        <f>IF(F219="","",ROUNDUP((HLOOKUP("並",単価表!$B$1:$D$2,2,FALSE)*F219)/50,0)*50)</f>
        <v/>
      </c>
    </row>
    <row r="220" spans="7:7">
      <c r="G220" s="5" t="str">
        <f>IF(F220="","",ROUNDUP((HLOOKUP("並",単価表!$B$1:$D$2,2,FALSE)*F220)/50,0)*50)</f>
        <v/>
      </c>
    </row>
    <row r="221" spans="7:7">
      <c r="G221" s="5" t="str">
        <f>IF(F221="","",ROUNDUP((HLOOKUP("並",単価表!$B$1:$D$2,2,FALSE)*F221)/50,0)*50)</f>
        <v/>
      </c>
    </row>
    <row r="222" spans="7:7">
      <c r="G222" s="5" t="str">
        <f>IF(F222="","",ROUNDUP((HLOOKUP("並",単価表!$B$1:$D$2,2,FALSE)*F222)/50,0)*50)</f>
        <v/>
      </c>
    </row>
    <row r="223" spans="7:7">
      <c r="G223" s="5" t="str">
        <f>IF(F223="","",ROUNDUP((HLOOKUP("並",単価表!$B$1:$D$2,2,FALSE)*F223)/50,0)*50)</f>
        <v/>
      </c>
    </row>
    <row r="224" spans="7:7">
      <c r="G224" s="5" t="str">
        <f>IF(F224="","",ROUNDUP((HLOOKUP("並",単価表!$B$1:$D$2,2,FALSE)*F224)/50,0)*50)</f>
        <v/>
      </c>
    </row>
    <row r="225" spans="7:7">
      <c r="G225" s="5" t="str">
        <f>IF(F225="","",ROUNDUP((HLOOKUP("並",単価表!$B$1:$D$2,2,FALSE)*F225)/50,0)*50)</f>
        <v/>
      </c>
    </row>
    <row r="226" spans="7:7">
      <c r="G226" s="5" t="str">
        <f>IF(F226="","",ROUNDUP((HLOOKUP("並",単価表!$B$1:$D$2,2,FALSE)*F226)/50,0)*50)</f>
        <v/>
      </c>
    </row>
    <row r="227" spans="7:7">
      <c r="G227" s="5" t="str">
        <f>IF(F227="","",ROUNDUP((HLOOKUP("並",単価表!$B$1:$D$2,2,FALSE)*F227)/50,0)*50)</f>
        <v/>
      </c>
    </row>
    <row r="228" spans="7:7">
      <c r="G228" s="5" t="str">
        <f>IF(F228="","",ROUNDUP((HLOOKUP("並",単価表!$B$1:$D$2,2,FALSE)*F228)/50,0)*50)</f>
        <v/>
      </c>
    </row>
    <row r="229" spans="7:7">
      <c r="G229" s="5" t="str">
        <f>IF(F229="","",ROUNDUP((HLOOKUP("並",単価表!$B$1:$D$2,2,FALSE)*F229)/50,0)*50)</f>
        <v/>
      </c>
    </row>
    <row r="230" spans="7:7">
      <c r="G230" s="5" t="str">
        <f>IF(F230="","",ROUNDUP((HLOOKUP("並",単価表!$B$1:$D$2,2,FALSE)*F230)/50,0)*50)</f>
        <v/>
      </c>
    </row>
    <row r="231" spans="7:7">
      <c r="G231" s="5" t="str">
        <f>IF(F231="","",ROUNDUP((HLOOKUP("並",単価表!$B$1:$D$2,2,FALSE)*F231)/50,0)*50)</f>
        <v/>
      </c>
    </row>
    <row r="232" spans="7:7">
      <c r="G232" s="5" t="str">
        <f>IF(F232="","",ROUNDUP((HLOOKUP("並",単価表!$B$1:$D$2,2,FALSE)*F232)/50,0)*50)</f>
        <v/>
      </c>
    </row>
    <row r="233" spans="7:7">
      <c r="G233" s="5" t="str">
        <f>IF(F233="","",ROUNDUP((HLOOKUP("並",単価表!$B$1:$D$2,2,FALSE)*F233)/50,0)*50)</f>
        <v/>
      </c>
    </row>
    <row r="234" spans="7:7">
      <c r="G234" s="5" t="str">
        <f>IF(F234="","",ROUNDUP((HLOOKUP("並",単価表!$B$1:$D$2,2,FALSE)*F234)/50,0)*50)</f>
        <v/>
      </c>
    </row>
    <row r="235" spans="7:7">
      <c r="G235" s="5" t="str">
        <f>IF(F235="","",ROUNDUP((HLOOKUP("並",単価表!$B$1:$D$2,2,FALSE)*F235)/50,0)*50)</f>
        <v/>
      </c>
    </row>
    <row r="236" spans="7:7">
      <c r="G236" s="5" t="str">
        <f>IF(F236="","",ROUNDUP((HLOOKUP("並",単価表!$B$1:$D$2,2,FALSE)*F236)/50,0)*50)</f>
        <v/>
      </c>
    </row>
    <row r="237" spans="7:7">
      <c r="G237" s="5" t="str">
        <f>IF(F237="","",ROUNDUP((HLOOKUP("並",単価表!$B$1:$D$2,2,FALSE)*F237)/50,0)*50)</f>
        <v/>
      </c>
    </row>
    <row r="238" spans="7:7">
      <c r="G238" s="5" t="str">
        <f>IF(F238="","",ROUNDUP((HLOOKUP("並",単価表!$B$1:$D$2,2,FALSE)*F238)/50,0)*50)</f>
        <v/>
      </c>
    </row>
    <row r="239" spans="7:7">
      <c r="G239" s="5" t="str">
        <f>IF(F239="","",ROUNDUP((HLOOKUP("並",単価表!$B$1:$D$2,2,FALSE)*F239)/50,0)*50)</f>
        <v/>
      </c>
    </row>
    <row r="240" spans="7:7">
      <c r="G240" s="5" t="str">
        <f>IF(F240="","",ROUNDUP((HLOOKUP("並",単価表!$B$1:$D$2,2,FALSE)*F240)/50,0)*50)</f>
        <v/>
      </c>
    </row>
    <row r="241" spans="7:7">
      <c r="G241" s="5" t="str">
        <f>IF(F241="","",ROUNDUP((HLOOKUP("並",単価表!$B$1:$D$2,2,FALSE)*F241)/50,0)*50)</f>
        <v/>
      </c>
    </row>
    <row r="242" spans="7:7">
      <c r="G242" s="5" t="str">
        <f>IF(F242="","",ROUNDUP((HLOOKUP("並",単価表!$B$1:$D$2,2,FALSE)*F242)/50,0)*50)</f>
        <v/>
      </c>
    </row>
    <row r="243" spans="7:7">
      <c r="G243" s="5" t="str">
        <f>IF(F243="","",ROUNDUP((HLOOKUP("並",単価表!$B$1:$D$2,2,FALSE)*F243)/50,0)*50)</f>
        <v/>
      </c>
    </row>
    <row r="244" spans="7:7">
      <c r="G244" s="5" t="str">
        <f>IF(F244="","",ROUNDUP((HLOOKUP("並",単価表!$B$1:$D$2,2,FALSE)*F244)/50,0)*50)</f>
        <v/>
      </c>
    </row>
    <row r="245" spans="7:7">
      <c r="G245" s="5" t="str">
        <f>IF(F245="","",ROUNDUP((HLOOKUP("並",単価表!$B$1:$D$2,2,FALSE)*F245)/50,0)*50)</f>
        <v/>
      </c>
    </row>
    <row r="246" spans="7:7">
      <c r="G246" s="5" t="str">
        <f>IF(F246="","",ROUNDUP((HLOOKUP("並",単価表!$B$1:$D$2,2,FALSE)*F246)/50,0)*50)</f>
        <v/>
      </c>
    </row>
    <row r="247" spans="7:7">
      <c r="G247" s="5" t="str">
        <f>IF(F247="","",ROUNDUP((HLOOKUP("並",単価表!$B$1:$D$2,2,FALSE)*F247)/50,0)*50)</f>
        <v/>
      </c>
    </row>
    <row r="248" spans="7:7">
      <c r="G248" s="5" t="str">
        <f>IF(F248="","",ROUNDUP((HLOOKUP("並",単価表!$B$1:$D$2,2,FALSE)*F248)/50,0)*50)</f>
        <v/>
      </c>
    </row>
    <row r="249" spans="7:7">
      <c r="G249" s="5" t="str">
        <f>IF(F249="","",ROUNDUP((HLOOKUP("並",単価表!$B$1:$D$2,2,FALSE)*F249)/50,0)*50)</f>
        <v/>
      </c>
    </row>
    <row r="250" spans="7:7">
      <c r="G250" s="5" t="str">
        <f>IF(F250="","",ROUNDUP((HLOOKUP("並",単価表!$B$1:$D$2,2,FALSE)*F250)/50,0)*50)</f>
        <v/>
      </c>
    </row>
    <row r="251" spans="7:7">
      <c r="G251" s="5" t="str">
        <f>IF(F251="","",ROUNDUP((HLOOKUP("並",単価表!$B$1:$D$2,2,FALSE)*F251)/50,0)*50)</f>
        <v/>
      </c>
    </row>
    <row r="252" spans="7:7">
      <c r="G252" s="5" t="str">
        <f>IF(F252="","",ROUNDUP((HLOOKUP("並",単価表!$B$1:$D$2,2,FALSE)*F252)/50,0)*50)</f>
        <v/>
      </c>
    </row>
    <row r="253" spans="7:7">
      <c r="G253" s="5" t="str">
        <f>IF(F253="","",ROUNDUP((HLOOKUP("並",単価表!$B$1:$D$2,2,FALSE)*F253)/50,0)*50)</f>
        <v/>
      </c>
    </row>
    <row r="254" spans="7:7">
      <c r="G254" s="5" t="str">
        <f>IF(F254="","",ROUNDUP((HLOOKUP("並",単価表!$B$1:$D$2,2,FALSE)*F254)/50,0)*50)</f>
        <v/>
      </c>
    </row>
    <row r="255" spans="7:7">
      <c r="G255" s="5" t="str">
        <f>IF(F255="","",ROUNDUP((HLOOKUP("並",単価表!$B$1:$D$2,2,FALSE)*F255)/50,0)*50)</f>
        <v/>
      </c>
    </row>
    <row r="256" spans="7:7">
      <c r="G256" s="5" t="str">
        <f>IF(F256="","",ROUNDUP((HLOOKUP("並",単価表!$B$1:$D$2,2,FALSE)*F256)/50,0)*50)</f>
        <v/>
      </c>
    </row>
    <row r="257" spans="7:7">
      <c r="G257" s="5" t="str">
        <f>IF(F257="","",ROUNDUP((HLOOKUP("並",単価表!$B$1:$D$2,2,FALSE)*F257)/50,0)*50)</f>
        <v/>
      </c>
    </row>
    <row r="258" spans="7:7">
      <c r="G258" s="5" t="str">
        <f>IF(F258="","",ROUNDUP((HLOOKUP("並",単価表!$B$1:$D$2,2,FALSE)*F258)/50,0)*50)</f>
        <v/>
      </c>
    </row>
    <row r="259" spans="7:7">
      <c r="G259" s="5" t="str">
        <f>IF(F259="","",ROUNDUP((HLOOKUP("並",単価表!$B$1:$D$2,2,FALSE)*F259)/50,0)*50)</f>
        <v/>
      </c>
    </row>
    <row r="260" spans="7:7">
      <c r="G260" s="5" t="str">
        <f>IF(F260="","",ROUNDUP((HLOOKUP("並",単価表!$B$1:$D$2,2,FALSE)*F260)/50,0)*50)</f>
        <v/>
      </c>
    </row>
    <row r="261" spans="7:7">
      <c r="G261" s="5" t="str">
        <f>IF(F261="","",ROUNDUP((HLOOKUP("並",単価表!$B$1:$D$2,2,FALSE)*F261)/50,0)*50)</f>
        <v/>
      </c>
    </row>
    <row r="262" spans="7:7">
      <c r="G262" s="5" t="str">
        <f>IF(F262="","",ROUNDUP((HLOOKUP("並",単価表!$B$1:$D$2,2,FALSE)*F262)/50,0)*50)</f>
        <v/>
      </c>
    </row>
    <row r="263" spans="7:7">
      <c r="G263" s="5" t="str">
        <f>IF(F263="","",ROUNDUP((HLOOKUP("並",単価表!$B$1:$D$2,2,FALSE)*F263)/50,0)*50)</f>
        <v/>
      </c>
    </row>
    <row r="264" spans="7:7">
      <c r="G264" s="5" t="str">
        <f>IF(F264="","",ROUNDUP((HLOOKUP("並",単価表!$B$1:$D$2,2,FALSE)*F264)/50,0)*50)</f>
        <v/>
      </c>
    </row>
    <row r="265" spans="7:7">
      <c r="G265" s="5" t="str">
        <f>IF(F265="","",ROUNDUP((HLOOKUP("並",単価表!$B$1:$D$2,2,FALSE)*F265)/50,0)*50)</f>
        <v/>
      </c>
    </row>
    <row r="266" spans="7:7">
      <c r="G266" s="5" t="str">
        <f>IF(F266="","",ROUNDUP((HLOOKUP("並",単価表!$B$1:$D$2,2,FALSE)*F266)/50,0)*50)</f>
        <v/>
      </c>
    </row>
    <row r="267" spans="7:7">
      <c r="G267" s="5" t="str">
        <f>IF(F267="","",ROUNDUP((HLOOKUP("並",単価表!$B$1:$D$2,2,FALSE)*F267)/50,0)*50)</f>
        <v/>
      </c>
    </row>
    <row r="268" spans="7:7">
      <c r="G268" s="5" t="str">
        <f>IF(F268="","",ROUNDUP((HLOOKUP("並",単価表!$B$1:$D$2,2,FALSE)*F268)/50,0)*50)</f>
        <v/>
      </c>
    </row>
    <row r="269" spans="7:7">
      <c r="G269" s="5" t="str">
        <f>IF(F269="","",ROUNDUP((HLOOKUP("並",単価表!$B$1:$D$2,2,FALSE)*F269)/50,0)*50)</f>
        <v/>
      </c>
    </row>
    <row r="270" spans="7:7">
      <c r="G270" s="5" t="str">
        <f>IF(F270="","",ROUNDUP((HLOOKUP("並",単価表!$B$1:$D$2,2,FALSE)*F270)/50,0)*50)</f>
        <v/>
      </c>
    </row>
    <row r="271" spans="7:7">
      <c r="G271" s="5" t="str">
        <f>IF(F271="","",ROUNDUP((HLOOKUP("並",単価表!$B$1:$D$2,2,FALSE)*F271)/50,0)*50)</f>
        <v/>
      </c>
    </row>
    <row r="272" spans="7:7">
      <c r="G272" s="5" t="str">
        <f>IF(F272="","",ROUNDUP((HLOOKUP("並",単価表!$B$1:$D$2,2,FALSE)*F272)/50,0)*50)</f>
        <v/>
      </c>
    </row>
    <row r="273" spans="7:7">
      <c r="G273" s="5" t="str">
        <f>IF(F273="","",ROUNDUP((HLOOKUP("並",単価表!$B$1:$D$2,2,FALSE)*F273)/50,0)*50)</f>
        <v/>
      </c>
    </row>
    <row r="274" spans="7:7">
      <c r="G274" s="5" t="str">
        <f>IF(F274="","",ROUNDUP((HLOOKUP("並",単価表!$B$1:$D$2,2,FALSE)*F274)/50,0)*50)</f>
        <v/>
      </c>
    </row>
    <row r="275" spans="7:7">
      <c r="G275" s="5" t="str">
        <f>IF(F275="","",ROUNDUP((HLOOKUP("並",単価表!$B$1:$D$2,2,FALSE)*F275)/50,0)*50)</f>
        <v/>
      </c>
    </row>
    <row r="276" spans="7:7">
      <c r="G276" s="5" t="str">
        <f>IF(F276="","",ROUNDUP((HLOOKUP("並",単価表!$B$1:$D$2,2,FALSE)*F276)/50,0)*50)</f>
        <v/>
      </c>
    </row>
    <row r="277" spans="7:7">
      <c r="G277" s="5" t="str">
        <f>IF(F277="","",ROUNDUP((HLOOKUP("並",単価表!$B$1:$D$2,2,FALSE)*F277)/50,0)*50)</f>
        <v/>
      </c>
    </row>
    <row r="278" spans="7:7">
      <c r="G278" s="5" t="str">
        <f>IF(F278="","",ROUNDUP((HLOOKUP("並",単価表!$B$1:$D$2,2,FALSE)*F278)/50,0)*50)</f>
        <v/>
      </c>
    </row>
    <row r="279" spans="7:7">
      <c r="G279" s="5" t="str">
        <f>IF(F279="","",ROUNDUP((HLOOKUP("並",単価表!$B$1:$D$2,2,FALSE)*F279)/50,0)*50)</f>
        <v/>
      </c>
    </row>
    <row r="280" spans="7:7">
      <c r="G280" s="5" t="str">
        <f>IF(F280="","",ROUNDUP((HLOOKUP("並",単価表!$B$1:$D$2,2,FALSE)*F280)/50,0)*50)</f>
        <v/>
      </c>
    </row>
    <row r="281" spans="7:7">
      <c r="G281" s="5" t="str">
        <f>IF(F281="","",ROUNDUP((HLOOKUP("並",単価表!$B$1:$D$2,2,FALSE)*F281)/50,0)*50)</f>
        <v/>
      </c>
    </row>
    <row r="282" spans="7:7">
      <c r="G282" s="5" t="str">
        <f>IF(F282="","",ROUNDUP((HLOOKUP("並",単価表!$B$1:$D$2,2,FALSE)*F282)/50,0)*50)</f>
        <v/>
      </c>
    </row>
    <row r="283" spans="7:7">
      <c r="G283" s="5" t="str">
        <f>IF(F283="","",ROUNDUP((HLOOKUP("並",単価表!$B$1:$D$2,2,FALSE)*F283)/50,0)*50)</f>
        <v/>
      </c>
    </row>
    <row r="284" spans="7:7">
      <c r="G284" s="5" t="str">
        <f>IF(F284="","",ROUNDUP((HLOOKUP("並",単価表!$B$1:$D$2,2,FALSE)*F284)/50,0)*50)</f>
        <v/>
      </c>
    </row>
    <row r="285" spans="7:7">
      <c r="G285" s="5" t="str">
        <f>IF(F285="","",ROUNDUP((HLOOKUP("並",単価表!$B$1:$D$2,2,FALSE)*F285)/50,0)*50)</f>
        <v/>
      </c>
    </row>
    <row r="286" spans="7:7">
      <c r="G286" s="5" t="str">
        <f>IF(F286="","",ROUNDUP((HLOOKUP("並",単価表!$B$1:$D$2,2,FALSE)*F286)/50,0)*50)</f>
        <v/>
      </c>
    </row>
    <row r="287" spans="7:7">
      <c r="G287" s="5" t="str">
        <f>IF(F287="","",ROUNDUP((HLOOKUP("並",単価表!$B$1:$D$2,2,FALSE)*F287)/50,0)*50)</f>
        <v/>
      </c>
    </row>
    <row r="288" spans="7:7">
      <c r="G288" s="5" t="str">
        <f>IF(F288="","",ROUNDUP((HLOOKUP("並",単価表!$B$1:$D$2,2,FALSE)*F288)/50,0)*50)</f>
        <v/>
      </c>
    </row>
    <row r="289" spans="7:7">
      <c r="G289" s="5" t="str">
        <f>IF(F289="","",ROUNDUP((HLOOKUP("並",単価表!$B$1:$D$2,2,FALSE)*F289)/50,0)*50)</f>
        <v/>
      </c>
    </row>
    <row r="290" spans="7:7">
      <c r="G290" s="5" t="str">
        <f>IF(F290="","",ROUNDUP((HLOOKUP("並",単価表!$B$1:$D$2,2,FALSE)*F290)/50,0)*50)</f>
        <v/>
      </c>
    </row>
    <row r="291" spans="7:7">
      <c r="G291" s="5" t="str">
        <f>IF(F291="","",ROUNDUP((HLOOKUP("並",単価表!$B$1:$D$2,2,FALSE)*F291)/50,0)*50)</f>
        <v/>
      </c>
    </row>
    <row r="292" spans="7:7">
      <c r="G292" s="5" t="str">
        <f>IF(F292="","",ROUNDUP((HLOOKUP("並",単価表!$B$1:$D$2,2,FALSE)*F292)/50,0)*50)</f>
        <v/>
      </c>
    </row>
    <row r="293" spans="7:7">
      <c r="G293" s="5" t="str">
        <f>IF(F293="","",ROUNDUP((HLOOKUP("並",単価表!$B$1:$D$2,2,FALSE)*F293)/50,0)*50)</f>
        <v/>
      </c>
    </row>
    <row r="294" spans="7:7">
      <c r="G294" s="5" t="str">
        <f>IF(F294="","",ROUNDUP((HLOOKUP("並",単価表!$B$1:$D$2,2,FALSE)*F294)/50,0)*50)</f>
        <v/>
      </c>
    </row>
    <row r="295" spans="7:7">
      <c r="G295" s="5" t="str">
        <f>IF(F295="","",ROUNDUP((HLOOKUP("並",単価表!$B$1:$D$2,2,FALSE)*F295)/50,0)*50)</f>
        <v/>
      </c>
    </row>
    <row r="296" spans="7:7">
      <c r="G296" s="5" t="str">
        <f>IF(F296="","",ROUNDUP((HLOOKUP("並",単価表!$B$1:$D$2,2,FALSE)*F296)/50,0)*50)</f>
        <v/>
      </c>
    </row>
    <row r="297" spans="7:7">
      <c r="G297" s="5" t="str">
        <f>IF(F297="","",ROUNDUP((HLOOKUP("並",単価表!$B$1:$D$2,2,FALSE)*F297)/50,0)*50)</f>
        <v/>
      </c>
    </row>
    <row r="298" spans="7:7">
      <c r="G298" s="5" t="str">
        <f>IF(F298="","",ROUNDUP((HLOOKUP("並",単価表!$B$1:$D$2,2,FALSE)*F298)/50,0)*50)</f>
        <v/>
      </c>
    </row>
    <row r="299" spans="7:7">
      <c r="G299" s="5" t="str">
        <f>IF(F299="","",ROUNDUP((HLOOKUP("並",単価表!$B$1:$D$2,2,FALSE)*F299)/50,0)*50)</f>
        <v/>
      </c>
    </row>
    <row r="300" spans="7:7">
      <c r="G300" s="5" t="str">
        <f>IF(F300="","",ROUNDUP((HLOOKUP("並",単価表!$B$1:$D$2,2,FALSE)*F300)/50,0)*50)</f>
        <v/>
      </c>
    </row>
    <row r="301" spans="7:7">
      <c r="G301" s="5" t="str">
        <f>IF(F301="","",ROUNDUP((HLOOKUP("並",単価表!$B$1:$D$2,2,FALSE)*F301)/50,0)*50)</f>
        <v/>
      </c>
    </row>
    <row r="302" spans="7:7">
      <c r="G302" s="5" t="str">
        <f>IF(F302="","",ROUNDUP((HLOOKUP("並",単価表!$B$1:$D$2,2,FALSE)*F302)/50,0)*50)</f>
        <v/>
      </c>
    </row>
    <row r="303" spans="7:7">
      <c r="G303" s="5" t="str">
        <f>IF(F303="","",ROUNDUP((HLOOKUP("並",単価表!$B$1:$D$2,2,FALSE)*F303)/50,0)*50)</f>
        <v/>
      </c>
    </row>
    <row r="304" spans="7:7">
      <c r="G304" s="5" t="str">
        <f>IF(F304="","",ROUNDUP((HLOOKUP("並",単価表!$B$1:$D$2,2,FALSE)*F304)/50,0)*50)</f>
        <v/>
      </c>
    </row>
    <row r="305" spans="7:7">
      <c r="G305" s="5" t="str">
        <f>IF(F305="","",ROUNDUP((HLOOKUP("並",単価表!$B$1:$D$2,2,FALSE)*F305)/50,0)*50)</f>
        <v/>
      </c>
    </row>
    <row r="306" spans="7:7">
      <c r="G306" s="5" t="str">
        <f>IF(F306="","",ROUNDUP((HLOOKUP("並",単価表!$B$1:$D$2,2,FALSE)*F306)/50,0)*50)</f>
        <v/>
      </c>
    </row>
    <row r="307" spans="7:7">
      <c r="G307" s="5" t="str">
        <f>IF(F307="","",ROUNDUP((HLOOKUP("並",単価表!$B$1:$D$2,2,FALSE)*F307)/50,0)*50)</f>
        <v/>
      </c>
    </row>
    <row r="308" spans="7:7">
      <c r="G308" s="5" t="str">
        <f>IF(F308="","",ROUNDUP((HLOOKUP("並",単価表!$B$1:$D$2,2,FALSE)*F308)/50,0)*50)</f>
        <v/>
      </c>
    </row>
    <row r="309" spans="7:7">
      <c r="G309" s="5" t="str">
        <f>IF(F309="","",ROUNDUP((HLOOKUP("並",単価表!$B$1:$D$2,2,FALSE)*F309)/50,0)*50)</f>
        <v/>
      </c>
    </row>
    <row r="310" spans="7:7">
      <c r="G310" s="5" t="str">
        <f>IF(F310="","",ROUNDUP((HLOOKUP("並",単価表!$B$1:$D$2,2,FALSE)*F310)/50,0)*50)</f>
        <v/>
      </c>
    </row>
    <row r="311" spans="7:7">
      <c r="G311" s="5" t="str">
        <f>IF(F311="","",ROUNDUP((HLOOKUP("並",単価表!$B$1:$D$2,2,FALSE)*F311)/50,0)*50)</f>
        <v/>
      </c>
    </row>
    <row r="312" spans="7:7">
      <c r="G312" s="5" t="str">
        <f>IF(F312="","",ROUNDUP((HLOOKUP("並",単価表!$B$1:$D$2,2,FALSE)*F312)/50,0)*50)</f>
        <v/>
      </c>
    </row>
    <row r="313" spans="7:7">
      <c r="G313" s="5" t="str">
        <f>IF(F313="","",ROUNDUP((HLOOKUP("並",単価表!$B$1:$D$2,2,FALSE)*F313)/50,0)*50)</f>
        <v/>
      </c>
    </row>
    <row r="314" spans="7:7">
      <c r="G314" s="5" t="str">
        <f>IF(F314="","",ROUNDUP((HLOOKUP("並",単価表!$B$1:$D$2,2,FALSE)*F314)/50,0)*50)</f>
        <v/>
      </c>
    </row>
    <row r="315" spans="7:7">
      <c r="G315" s="5" t="str">
        <f>IF(F315="","",ROUNDUP((HLOOKUP("並",単価表!$B$1:$D$2,2,FALSE)*F315)/50,0)*50)</f>
        <v/>
      </c>
    </row>
    <row r="316" spans="7:7">
      <c r="G316" s="5" t="str">
        <f>IF(F316="","",ROUNDUP((HLOOKUP("並",単価表!$B$1:$D$2,2,FALSE)*F316)/50,0)*50)</f>
        <v/>
      </c>
    </row>
    <row r="317" spans="7:7">
      <c r="G317" s="5" t="str">
        <f>IF(F317="","",ROUNDUP((HLOOKUP("並",単価表!$B$1:$D$2,2,FALSE)*F317)/50,0)*50)</f>
        <v/>
      </c>
    </row>
    <row r="318" spans="7:7">
      <c r="G318" s="5" t="str">
        <f>IF(F318="","",ROUNDUP((HLOOKUP("並",単価表!$B$1:$D$2,2,FALSE)*F318)/50,0)*50)</f>
        <v/>
      </c>
    </row>
    <row r="319" spans="7:7">
      <c r="G319" s="5" t="str">
        <f>IF(F319="","",ROUNDUP((HLOOKUP("並",単価表!$B$1:$D$2,2,FALSE)*F319)/50,0)*50)</f>
        <v/>
      </c>
    </row>
    <row r="320" spans="7:7">
      <c r="G320" s="5" t="str">
        <f>IF(F320="","",ROUNDUP((HLOOKUP("並",単価表!$B$1:$D$2,2,FALSE)*F320)/50,0)*50)</f>
        <v/>
      </c>
    </row>
    <row r="321" spans="7:7">
      <c r="G321" s="5" t="str">
        <f>IF(F321="","",ROUNDUP((HLOOKUP("並",単価表!$B$1:$D$2,2,FALSE)*F321)/50,0)*50)</f>
        <v/>
      </c>
    </row>
    <row r="322" spans="7:7">
      <c r="G322" s="5" t="str">
        <f>IF(F322="","",ROUNDUP((HLOOKUP("並",単価表!$B$1:$D$2,2,FALSE)*F322)/50,0)*50)</f>
        <v/>
      </c>
    </row>
    <row r="323" spans="7:7">
      <c r="G323" s="5" t="str">
        <f>IF(F323="","",ROUNDUP((HLOOKUP("並",単価表!$B$1:$D$2,2,FALSE)*F323)/50,0)*50)</f>
        <v/>
      </c>
    </row>
    <row r="324" spans="7:7">
      <c r="G324" s="5" t="str">
        <f>IF(F324="","",ROUNDUP((HLOOKUP("並",単価表!$B$1:$D$2,2,FALSE)*F324)/50,0)*50)</f>
        <v/>
      </c>
    </row>
    <row r="325" spans="7:7">
      <c r="G325" s="5" t="str">
        <f>IF(F325="","",ROUNDUP((HLOOKUP("並",単価表!$B$1:$D$2,2,FALSE)*F325)/50,0)*50)</f>
        <v/>
      </c>
    </row>
    <row r="326" spans="7:7">
      <c r="G326" s="5" t="str">
        <f>IF(F326="","",ROUNDUP((HLOOKUP("並",単価表!$B$1:$D$2,2,FALSE)*F326)/50,0)*50)</f>
        <v/>
      </c>
    </row>
    <row r="327" spans="7:7">
      <c r="G327" s="5" t="str">
        <f>IF(F327="","",ROUNDUP((HLOOKUP("並",単価表!$B$1:$D$2,2,FALSE)*F327)/50,0)*50)</f>
        <v/>
      </c>
    </row>
    <row r="328" spans="7:7">
      <c r="G328" s="5" t="str">
        <f>IF(F328="","",ROUNDUP((HLOOKUP("並",単価表!$B$1:$D$2,2,FALSE)*F328)/50,0)*50)</f>
        <v/>
      </c>
    </row>
    <row r="329" spans="7:7">
      <c r="G329" s="5" t="str">
        <f>IF(F329="","",ROUNDUP((HLOOKUP("並",単価表!$B$1:$D$2,2,FALSE)*F329)/50,0)*50)</f>
        <v/>
      </c>
    </row>
    <row r="330" spans="7:7">
      <c r="G330" s="5" t="str">
        <f>IF(F330="","",ROUNDUP((HLOOKUP("並",単価表!$B$1:$D$2,2,FALSE)*F330)/50,0)*50)</f>
        <v/>
      </c>
    </row>
    <row r="331" spans="7:7">
      <c r="G331" s="5" t="str">
        <f>IF(F331="","",ROUNDUP((HLOOKUP("並",単価表!$B$1:$D$2,2,FALSE)*F331)/50,0)*50)</f>
        <v/>
      </c>
    </row>
    <row r="332" spans="7:7">
      <c r="G332" s="5" t="str">
        <f>IF(F332="","",ROUNDUP((HLOOKUP("並",単価表!$B$1:$D$2,2,FALSE)*F332)/50,0)*50)</f>
        <v/>
      </c>
    </row>
    <row r="333" spans="7:7">
      <c r="G333" s="5" t="str">
        <f>IF(F333="","",ROUNDUP((HLOOKUP("並",単価表!$B$1:$D$2,2,FALSE)*F333)/50,0)*50)</f>
        <v/>
      </c>
    </row>
    <row r="334" spans="7:7">
      <c r="G334" s="5" t="str">
        <f>IF(F334="","",ROUNDUP((HLOOKUP("並",単価表!$B$1:$D$2,2,FALSE)*F334)/50,0)*50)</f>
        <v/>
      </c>
    </row>
    <row r="335" spans="7:7">
      <c r="G335" s="5" t="str">
        <f>IF(F335="","",ROUNDUP((HLOOKUP("並",単価表!$B$1:$D$2,2,FALSE)*F335)/50,0)*50)</f>
        <v/>
      </c>
    </row>
    <row r="336" spans="7:7">
      <c r="G336" s="5" t="str">
        <f>IF(F336="","",ROUNDUP((HLOOKUP("並",単価表!$B$1:$D$2,2,FALSE)*F336)/50,0)*50)</f>
        <v/>
      </c>
    </row>
    <row r="337" spans="7:7">
      <c r="G337" s="5" t="str">
        <f>IF(F337="","",ROUNDUP((HLOOKUP("並",単価表!$B$1:$D$2,2,FALSE)*F337)/50,0)*50)</f>
        <v/>
      </c>
    </row>
    <row r="338" spans="7:7">
      <c r="G338" s="5" t="str">
        <f>IF(F338="","",ROUNDUP((HLOOKUP("並",単価表!$B$1:$D$2,2,FALSE)*F338)/50,0)*50)</f>
        <v/>
      </c>
    </row>
    <row r="339" spans="7:7">
      <c r="G339" s="5" t="str">
        <f>IF(F339="","",ROUNDUP((HLOOKUP("並",単価表!$B$1:$D$2,2,FALSE)*F339)/50,0)*50)</f>
        <v/>
      </c>
    </row>
    <row r="340" spans="7:7">
      <c r="G340" s="5" t="str">
        <f>IF(F340="","",ROUNDUP((HLOOKUP("並",単価表!$B$1:$D$2,2,FALSE)*F340)/50,0)*50)</f>
        <v/>
      </c>
    </row>
    <row r="341" spans="7:7">
      <c r="G341" s="5" t="str">
        <f>IF(F341="","",ROUNDUP((HLOOKUP("並",単価表!$B$1:$D$2,2,FALSE)*F341)/50,0)*50)</f>
        <v/>
      </c>
    </row>
    <row r="342" spans="7:7">
      <c r="G342" s="5" t="str">
        <f>IF(F342="","",ROUNDUP((HLOOKUP("並",単価表!$B$1:$D$2,2,FALSE)*F342)/50,0)*50)</f>
        <v/>
      </c>
    </row>
    <row r="343" spans="7:7">
      <c r="G343" s="5" t="str">
        <f>IF(F343="","",ROUNDUP((HLOOKUP("並",単価表!$B$1:$D$2,2,FALSE)*F343)/50,0)*50)</f>
        <v/>
      </c>
    </row>
    <row r="344" spans="7:7">
      <c r="G344" s="5" t="str">
        <f>IF(F344="","",ROUNDUP((HLOOKUP("並",単価表!$B$1:$D$2,2,FALSE)*F344)/50,0)*50)</f>
        <v/>
      </c>
    </row>
    <row r="345" spans="7:7">
      <c r="G345" s="5" t="str">
        <f>IF(F345="","",ROUNDUP((HLOOKUP("並",単価表!$B$1:$D$2,2,FALSE)*F345)/50,0)*50)</f>
        <v/>
      </c>
    </row>
    <row r="346" spans="7:7">
      <c r="G346" s="5" t="str">
        <f>IF(F346="","",ROUNDUP((HLOOKUP("並",単価表!$B$1:$D$2,2,FALSE)*F346)/50,0)*50)</f>
        <v/>
      </c>
    </row>
    <row r="347" spans="7:7">
      <c r="G347" s="5" t="str">
        <f>IF(F347="","",ROUNDUP((HLOOKUP("並",単価表!$B$1:$D$2,2,FALSE)*F347)/50,0)*50)</f>
        <v/>
      </c>
    </row>
    <row r="348" spans="7:7">
      <c r="G348" s="5" t="str">
        <f>IF(F348="","",ROUNDUP((HLOOKUP("並",単価表!$B$1:$D$2,2,FALSE)*F348)/50,0)*50)</f>
        <v/>
      </c>
    </row>
    <row r="349" spans="7:7">
      <c r="G349" s="5" t="str">
        <f>IF(F349="","",ROUNDUP((HLOOKUP("並",単価表!$B$1:$D$2,2,FALSE)*F349)/50,0)*50)</f>
        <v/>
      </c>
    </row>
    <row r="350" spans="7:7">
      <c r="G350" s="5" t="str">
        <f>IF(F350="","",ROUNDUP((HLOOKUP("並",単価表!$B$1:$D$2,2,FALSE)*F350)/50,0)*50)</f>
        <v/>
      </c>
    </row>
    <row r="351" spans="7:7">
      <c r="G351" s="5" t="str">
        <f>IF(F351="","",ROUNDUP((HLOOKUP("並",単価表!$B$1:$D$2,2,FALSE)*F351)/50,0)*50)</f>
        <v/>
      </c>
    </row>
    <row r="352" spans="7:7">
      <c r="G352" s="5" t="str">
        <f>IF(F352="","",ROUNDUP((HLOOKUP("並",単価表!$B$1:$D$2,2,FALSE)*F352)/50,0)*50)</f>
        <v/>
      </c>
    </row>
    <row r="353" spans="7:7">
      <c r="G353" s="5" t="str">
        <f>IF(F353="","",ROUNDUP((HLOOKUP("並",単価表!$B$1:$D$2,2,FALSE)*F353)/50,0)*50)</f>
        <v/>
      </c>
    </row>
    <row r="354" spans="7:7">
      <c r="G354" s="5" t="str">
        <f>IF(F354="","",ROUNDUP((HLOOKUP("並",単価表!$B$1:$D$2,2,FALSE)*F354)/50,0)*50)</f>
        <v/>
      </c>
    </row>
    <row r="355" spans="7:7">
      <c r="G355" s="5" t="str">
        <f>IF(F355="","",ROUNDUP((HLOOKUP("並",単価表!$B$1:$D$2,2,FALSE)*F355)/50,0)*50)</f>
        <v/>
      </c>
    </row>
    <row r="356" spans="7:7">
      <c r="G356" s="5" t="str">
        <f>IF(F356="","",ROUNDUP((HLOOKUP("並",単価表!$B$1:$D$2,2,FALSE)*F356)/50,0)*50)</f>
        <v/>
      </c>
    </row>
    <row r="357" spans="7:7">
      <c r="G357" s="5" t="str">
        <f>IF(F357="","",ROUNDUP((HLOOKUP("並",単価表!$B$1:$D$2,2,FALSE)*F357)/50,0)*50)</f>
        <v/>
      </c>
    </row>
    <row r="358" spans="7:7">
      <c r="G358" s="5" t="str">
        <f>IF(F358="","",ROUNDUP((HLOOKUP("並",単価表!$B$1:$D$2,2,FALSE)*F358)/50,0)*50)</f>
        <v/>
      </c>
    </row>
    <row r="359" spans="7:7">
      <c r="G359" s="5" t="str">
        <f>IF(F359="","",ROUNDUP((HLOOKUP("並",単価表!$B$1:$D$2,2,FALSE)*F359)/50,0)*50)</f>
        <v/>
      </c>
    </row>
    <row r="360" spans="7:7">
      <c r="G360" s="5" t="str">
        <f>IF(F360="","",ROUNDUP((HLOOKUP("並",単価表!$B$1:$D$2,2,FALSE)*F360)/50,0)*50)</f>
        <v/>
      </c>
    </row>
    <row r="361" spans="7:7">
      <c r="G361" s="5" t="str">
        <f>IF(F361="","",ROUNDUP((HLOOKUP("並",単価表!$B$1:$D$2,2,FALSE)*F361)/50,0)*50)</f>
        <v/>
      </c>
    </row>
    <row r="362" spans="7:7">
      <c r="G362" s="5" t="str">
        <f>IF(F362="","",ROUNDUP((HLOOKUP("並",単価表!$B$1:$D$2,2,FALSE)*F362)/50,0)*50)</f>
        <v/>
      </c>
    </row>
    <row r="363" spans="7:7">
      <c r="G363" s="5" t="str">
        <f>IF(F363="","",ROUNDUP((HLOOKUP("並",単価表!$B$1:$D$2,2,FALSE)*F363)/50,0)*50)</f>
        <v/>
      </c>
    </row>
    <row r="364" spans="7:7">
      <c r="G364" s="5" t="str">
        <f>IF(F364="","",ROUNDUP((HLOOKUP("並",単価表!$B$1:$D$2,2,FALSE)*F364)/50,0)*50)</f>
        <v/>
      </c>
    </row>
    <row r="365" spans="7:7">
      <c r="G365" s="5" t="str">
        <f>IF(F365="","",ROUNDUP((HLOOKUP("並",単価表!$B$1:$D$2,2,FALSE)*F365)/50,0)*50)</f>
        <v/>
      </c>
    </row>
    <row r="366" spans="7:7">
      <c r="G366" s="5" t="str">
        <f>IF(F366="","",ROUNDUP((HLOOKUP("並",単価表!$B$1:$D$2,2,FALSE)*F366)/50,0)*50)</f>
        <v/>
      </c>
    </row>
    <row r="367" spans="7:7">
      <c r="G367" s="5" t="str">
        <f>IF(F367="","",ROUNDUP((HLOOKUP("並",単価表!$B$1:$D$2,2,FALSE)*F367)/50,0)*50)</f>
        <v/>
      </c>
    </row>
    <row r="368" spans="7:7">
      <c r="G368" s="5" t="str">
        <f>IF(F368="","",ROUNDUP((HLOOKUP("並",単価表!$B$1:$D$2,2,FALSE)*F368)/50,0)*50)</f>
        <v/>
      </c>
    </row>
    <row r="369" spans="7:7">
      <c r="G369" s="5" t="str">
        <f>IF(F369="","",ROUNDUP((HLOOKUP("並",単価表!$B$1:$D$2,2,FALSE)*F369)/50,0)*50)</f>
        <v/>
      </c>
    </row>
    <row r="370" spans="7:7">
      <c r="G370" s="5" t="str">
        <f>IF(F370="","",ROUNDUP((HLOOKUP("並",単価表!$B$1:$D$2,2,FALSE)*F370)/50,0)*50)</f>
        <v/>
      </c>
    </row>
    <row r="371" spans="7:7">
      <c r="G371" s="5" t="str">
        <f>IF(F371="","",ROUNDUP((HLOOKUP("並",単価表!$B$1:$D$2,2,FALSE)*F371)/50,0)*50)</f>
        <v/>
      </c>
    </row>
    <row r="372" spans="7:7">
      <c r="G372" s="5" t="str">
        <f>IF(F372="","",ROUNDUP((HLOOKUP("並",単価表!$B$1:$D$2,2,FALSE)*F372)/50,0)*50)</f>
        <v/>
      </c>
    </row>
    <row r="373" spans="7:7">
      <c r="G373" s="5" t="str">
        <f>IF(F373="","",ROUNDUP((HLOOKUP("並",単価表!$B$1:$D$2,2,FALSE)*F373)/50,0)*50)</f>
        <v/>
      </c>
    </row>
    <row r="374" spans="7:7">
      <c r="G374" s="5" t="str">
        <f>IF(F374="","",ROUNDUP((HLOOKUP("並",単価表!$B$1:$D$2,2,FALSE)*F374)/50,0)*50)</f>
        <v/>
      </c>
    </row>
    <row r="375" spans="7:7">
      <c r="G375" s="5" t="str">
        <f>IF(F375="","",ROUNDUP((HLOOKUP("並",単価表!$B$1:$D$2,2,FALSE)*F375)/50,0)*50)</f>
        <v/>
      </c>
    </row>
    <row r="376" spans="7:7">
      <c r="G376" s="5" t="str">
        <f>IF(F376="","",ROUNDUP((HLOOKUP("並",単価表!$B$1:$D$2,2,FALSE)*F376)/50,0)*50)</f>
        <v/>
      </c>
    </row>
    <row r="377" spans="7:7">
      <c r="G377" s="5" t="str">
        <f>IF(F377="","",ROUNDUP((HLOOKUP("並",単価表!$B$1:$D$2,2,FALSE)*F377)/50,0)*50)</f>
        <v/>
      </c>
    </row>
    <row r="378" spans="7:7">
      <c r="G378" s="5" t="str">
        <f>IF(F378="","",ROUNDUP((HLOOKUP("並",単価表!$B$1:$D$2,2,FALSE)*F378)/50,0)*50)</f>
        <v/>
      </c>
    </row>
    <row r="379" spans="7:7">
      <c r="G379" s="5" t="str">
        <f>IF(F379="","",ROUNDUP((HLOOKUP("並",単価表!$B$1:$D$2,2,FALSE)*F379)/50,0)*50)</f>
        <v/>
      </c>
    </row>
    <row r="380" spans="7:7">
      <c r="G380" s="5" t="str">
        <f>IF(F380="","",ROUNDUP((HLOOKUP("並",単価表!$B$1:$D$2,2,FALSE)*F380)/50,0)*50)</f>
        <v/>
      </c>
    </row>
    <row r="381" spans="7:7">
      <c r="G381" s="5" t="str">
        <f>IF(F381="","",ROUNDUP((HLOOKUP("並",単価表!$B$1:$D$2,2,FALSE)*F381)/50,0)*50)</f>
        <v/>
      </c>
    </row>
    <row r="382" spans="7:7">
      <c r="G382" s="5" t="str">
        <f>IF(F382="","",ROUNDUP((HLOOKUP("並",単価表!$B$1:$D$2,2,FALSE)*F382)/50,0)*50)</f>
        <v/>
      </c>
    </row>
    <row r="383" spans="7:7">
      <c r="G383" s="5" t="str">
        <f>IF(F383="","",ROUNDUP((HLOOKUP("並",単価表!$B$1:$D$2,2,FALSE)*F383)/50,0)*50)</f>
        <v/>
      </c>
    </row>
    <row r="384" spans="7:7">
      <c r="G384" s="5" t="str">
        <f>IF(F384="","",ROUNDUP((HLOOKUP("並",単価表!$B$1:$D$2,2,FALSE)*F384)/50,0)*50)</f>
        <v/>
      </c>
    </row>
    <row r="385" spans="7:7">
      <c r="G385" s="5" t="str">
        <f>IF(F385="","",ROUNDUP((HLOOKUP("並",単価表!$B$1:$D$2,2,FALSE)*F385)/50,0)*50)</f>
        <v/>
      </c>
    </row>
    <row r="386" spans="7:7">
      <c r="G386" s="5" t="str">
        <f>IF(F386="","",ROUNDUP((HLOOKUP("並",単価表!$B$1:$D$2,2,FALSE)*F386)/50,0)*50)</f>
        <v/>
      </c>
    </row>
    <row r="387" spans="7:7">
      <c r="G387" s="5" t="str">
        <f>IF(F387="","",ROUNDUP((HLOOKUP("並",単価表!$B$1:$D$2,2,FALSE)*F387)/50,0)*50)</f>
        <v/>
      </c>
    </row>
    <row r="388" spans="7:7">
      <c r="G388" s="5" t="str">
        <f>IF(F388="","",ROUNDUP((HLOOKUP("並",単価表!$B$1:$D$2,2,FALSE)*F388)/50,0)*50)</f>
        <v/>
      </c>
    </row>
    <row r="389" spans="7:7">
      <c r="G389" s="5" t="str">
        <f>IF(F389="","",ROUNDUP((HLOOKUP("並",単価表!$B$1:$D$2,2,FALSE)*F389)/50,0)*50)</f>
        <v/>
      </c>
    </row>
    <row r="390" spans="7:7">
      <c r="G390" s="5" t="str">
        <f>IF(F390="","",ROUNDUP((HLOOKUP("並",単価表!$B$1:$D$2,2,FALSE)*F390)/50,0)*50)</f>
        <v/>
      </c>
    </row>
    <row r="391" spans="7:7">
      <c r="G391" s="5" t="str">
        <f>IF(F391="","",ROUNDUP((HLOOKUP("並",単価表!$B$1:$D$2,2,FALSE)*F391)/50,0)*50)</f>
        <v/>
      </c>
    </row>
    <row r="392" spans="7:7">
      <c r="G392" s="5" t="str">
        <f>IF(F392="","",ROUNDUP((HLOOKUP("並",単価表!$B$1:$D$2,2,FALSE)*F392)/50,0)*50)</f>
        <v/>
      </c>
    </row>
    <row r="393" spans="7:7">
      <c r="G393" s="5" t="str">
        <f>IF(F393="","",ROUNDUP((HLOOKUP("並",単価表!$B$1:$D$2,2,FALSE)*F393)/50,0)*50)</f>
        <v/>
      </c>
    </row>
    <row r="394" spans="7:7">
      <c r="G394" s="5" t="str">
        <f>IF(F394="","",ROUNDUP((HLOOKUP("並",単価表!$B$1:$D$2,2,FALSE)*F394)/50,0)*50)</f>
        <v/>
      </c>
    </row>
    <row r="395" spans="7:7">
      <c r="G395" s="5" t="str">
        <f>IF(F395="","",ROUNDUP((HLOOKUP("並",単価表!$B$1:$D$2,2,FALSE)*F395)/50,0)*50)</f>
        <v/>
      </c>
    </row>
    <row r="396" spans="7:7">
      <c r="G396" s="5" t="str">
        <f>IF(F396="","",ROUNDUP((HLOOKUP("並",単価表!$B$1:$D$2,2,FALSE)*F396)/50,0)*50)</f>
        <v/>
      </c>
    </row>
    <row r="397" spans="7:7">
      <c r="G397" s="5" t="str">
        <f>IF(F397="","",ROUNDUP((HLOOKUP("並",単価表!$B$1:$D$2,2,FALSE)*F397)/50,0)*50)</f>
        <v/>
      </c>
    </row>
    <row r="398" spans="7:7">
      <c r="G398" s="5" t="str">
        <f>IF(F398="","",ROUNDUP((HLOOKUP("並",単価表!$B$1:$D$2,2,FALSE)*F398)/50,0)*50)</f>
        <v/>
      </c>
    </row>
    <row r="399" spans="7:7">
      <c r="G399" s="5" t="str">
        <f>IF(F399="","",ROUNDUP((HLOOKUP("並",単価表!$B$1:$D$2,2,FALSE)*F399)/50,0)*50)</f>
        <v/>
      </c>
    </row>
    <row r="400" spans="7:7">
      <c r="G400" s="5" t="str">
        <f>IF(F400="","",ROUNDUP((HLOOKUP("並",単価表!$B$1:$D$2,2,FALSE)*F400)/50,0)*50)</f>
        <v/>
      </c>
    </row>
    <row r="401" spans="7:7">
      <c r="G401" s="5" t="str">
        <f>IF(F401="","",ROUNDUP((HLOOKUP("並",単価表!$B$1:$D$2,2,FALSE)*F401)/50,0)*50)</f>
        <v/>
      </c>
    </row>
    <row r="402" spans="7:7">
      <c r="G402" s="5" t="str">
        <f>IF(F402="","",ROUNDUP((HLOOKUP("並",単価表!$B$1:$D$2,2,FALSE)*F402)/50,0)*50)</f>
        <v/>
      </c>
    </row>
    <row r="403" spans="7:7">
      <c r="G403" s="5" t="str">
        <f>IF(F403="","",ROUNDUP((HLOOKUP("並",単価表!$B$1:$D$2,2,FALSE)*F403)/50,0)*50)</f>
        <v/>
      </c>
    </row>
    <row r="404" spans="7:7">
      <c r="G404" s="5" t="str">
        <f>IF(F404="","",ROUNDUP((HLOOKUP("並",単価表!$B$1:$D$2,2,FALSE)*F404)/50,0)*50)</f>
        <v/>
      </c>
    </row>
    <row r="405" spans="7:7">
      <c r="G405" s="5" t="str">
        <f>IF(F405="","",ROUNDUP((HLOOKUP("並",単価表!$B$1:$D$2,2,FALSE)*F405)/50,0)*50)</f>
        <v/>
      </c>
    </row>
    <row r="406" spans="7:7">
      <c r="G406" s="5" t="str">
        <f>IF(F406="","",ROUNDUP((HLOOKUP("並",単価表!$B$1:$D$2,2,FALSE)*F406)/50,0)*50)</f>
        <v/>
      </c>
    </row>
    <row r="407" spans="7:7">
      <c r="G407" s="5" t="str">
        <f>IF(F407="","",ROUNDUP((HLOOKUP("並",単価表!$B$1:$D$2,2,FALSE)*F407)/50,0)*50)</f>
        <v/>
      </c>
    </row>
    <row r="408" spans="7:7">
      <c r="G408" s="5" t="str">
        <f>IF(F408="","",ROUNDUP((HLOOKUP("並",単価表!$B$1:$D$2,2,FALSE)*F408)/50,0)*50)</f>
        <v/>
      </c>
    </row>
    <row r="409" spans="7:7">
      <c r="G409" s="5" t="str">
        <f>IF(F409="","",ROUNDUP((HLOOKUP("並",単価表!$B$1:$D$2,2,FALSE)*F409)/50,0)*50)</f>
        <v/>
      </c>
    </row>
    <row r="410" spans="7:7">
      <c r="G410" s="5" t="str">
        <f>IF(F410="","",ROUNDUP((HLOOKUP("並",単価表!$B$1:$D$2,2,FALSE)*F410)/50,0)*50)</f>
        <v/>
      </c>
    </row>
    <row r="411" spans="7:7">
      <c r="G411" s="5" t="str">
        <f>IF(F411="","",ROUNDUP((HLOOKUP("並",単価表!$B$1:$D$2,2,FALSE)*F411)/50,0)*50)</f>
        <v/>
      </c>
    </row>
    <row r="412" spans="7:7">
      <c r="G412" s="5" t="str">
        <f>IF(F412="","",ROUNDUP((HLOOKUP("並",単価表!$B$1:$D$2,2,FALSE)*F412)/50,0)*50)</f>
        <v/>
      </c>
    </row>
    <row r="413" spans="7:7">
      <c r="G413" s="5" t="str">
        <f>IF(F413="","",ROUNDUP((HLOOKUP("並",単価表!$B$1:$D$2,2,FALSE)*F413)/50,0)*50)</f>
        <v/>
      </c>
    </row>
    <row r="414" spans="7:7">
      <c r="G414" s="5" t="str">
        <f>IF(F414="","",ROUNDUP((HLOOKUP("並",単価表!$B$1:$D$2,2,FALSE)*F414)/50,0)*50)</f>
        <v/>
      </c>
    </row>
    <row r="415" spans="7:7">
      <c r="G415" s="5" t="str">
        <f>IF(F415="","",ROUNDUP((HLOOKUP("並",単価表!$B$1:$D$2,2,FALSE)*F415)/50,0)*50)</f>
        <v/>
      </c>
    </row>
    <row r="416" spans="7:7">
      <c r="G416" s="5" t="str">
        <f>IF(F416="","",ROUNDUP((HLOOKUP("並",単価表!$B$1:$D$2,2,FALSE)*F416)/50,0)*50)</f>
        <v/>
      </c>
    </row>
    <row r="417" spans="7:7">
      <c r="G417" s="5" t="str">
        <f>IF(F417="","",ROUNDUP((HLOOKUP("並",単価表!$B$1:$D$2,2,FALSE)*F417)/50,0)*50)</f>
        <v/>
      </c>
    </row>
    <row r="418" spans="7:7">
      <c r="G418" s="5" t="str">
        <f>IF(F418="","",ROUNDUP((HLOOKUP("並",単価表!$B$1:$D$2,2,FALSE)*F418)/50,0)*50)</f>
        <v/>
      </c>
    </row>
    <row r="419" spans="7:7">
      <c r="G419" s="5" t="str">
        <f>IF(F419="","",ROUNDUP((HLOOKUP("並",単価表!$B$1:$D$2,2,FALSE)*F419)/50,0)*50)</f>
        <v/>
      </c>
    </row>
    <row r="420" spans="7:7">
      <c r="G420" s="5" t="str">
        <f>IF(F420="","",ROUNDUP((HLOOKUP("並",単価表!$B$1:$D$2,2,FALSE)*F420)/50,0)*50)</f>
        <v/>
      </c>
    </row>
    <row r="421" spans="7:7">
      <c r="G421" s="5" t="str">
        <f>IF(F421="","",ROUNDUP((HLOOKUP("並",単価表!$B$1:$D$2,2,FALSE)*F421)/50,0)*50)</f>
        <v/>
      </c>
    </row>
    <row r="422" spans="7:7">
      <c r="G422" s="5" t="str">
        <f>IF(F422="","",ROUNDUP((HLOOKUP("並",単価表!$B$1:$D$2,2,FALSE)*F422)/50,0)*50)</f>
        <v/>
      </c>
    </row>
    <row r="423" spans="7:7">
      <c r="G423" s="5" t="str">
        <f>IF(F423="","",ROUNDUP((HLOOKUP("並",単価表!$B$1:$D$2,2,FALSE)*F423)/50,0)*50)</f>
        <v/>
      </c>
    </row>
    <row r="424" spans="7:7">
      <c r="G424" s="5" t="str">
        <f>IF(F424="","",ROUNDUP((HLOOKUP("並",単価表!$B$1:$D$2,2,FALSE)*F424)/50,0)*50)</f>
        <v/>
      </c>
    </row>
    <row r="425" spans="7:7">
      <c r="G425" s="5" t="str">
        <f>IF(F425="","",ROUNDUP((HLOOKUP("並",単価表!$B$1:$D$2,2,FALSE)*F425)/50,0)*50)</f>
        <v/>
      </c>
    </row>
    <row r="426" spans="7:7">
      <c r="G426" s="5" t="str">
        <f>IF(F426="","",ROUNDUP((HLOOKUP("並",単価表!$B$1:$D$2,2,FALSE)*F426)/50,0)*50)</f>
        <v/>
      </c>
    </row>
    <row r="427" spans="7:7">
      <c r="G427" s="5" t="str">
        <f>IF(F427="","",ROUNDUP((HLOOKUP("並",単価表!$B$1:$D$2,2,FALSE)*F427)/50,0)*50)</f>
        <v/>
      </c>
    </row>
    <row r="428" spans="7:7">
      <c r="G428" s="5" t="str">
        <f>IF(F428="","",ROUNDUP((HLOOKUP("並",単価表!$B$1:$D$2,2,FALSE)*F428)/50,0)*50)</f>
        <v/>
      </c>
    </row>
    <row r="429" spans="7:7">
      <c r="G429" s="5" t="str">
        <f>IF(F429="","",ROUNDUP((HLOOKUP("並",単価表!$B$1:$D$2,2,FALSE)*F429)/50,0)*50)</f>
        <v/>
      </c>
    </row>
    <row r="430" spans="7:7">
      <c r="G430" s="5" t="str">
        <f>IF(F430="","",ROUNDUP((HLOOKUP("並",単価表!$B$1:$D$2,2,FALSE)*F430)/50,0)*50)</f>
        <v/>
      </c>
    </row>
    <row r="431" spans="7:7">
      <c r="G431" s="5" t="str">
        <f>IF(F431="","",ROUNDUP((HLOOKUP("並",単価表!$B$1:$D$2,2,FALSE)*F431)/50,0)*50)</f>
        <v/>
      </c>
    </row>
    <row r="432" spans="7:7">
      <c r="G432" s="5" t="str">
        <f>IF(F432="","",ROUNDUP((HLOOKUP("並",単価表!$B$1:$D$2,2,FALSE)*F432)/50,0)*50)</f>
        <v/>
      </c>
    </row>
    <row r="433" spans="7:7">
      <c r="G433" s="5" t="str">
        <f>IF(F433="","",ROUNDUP((HLOOKUP("並",単価表!$B$1:$D$2,2,FALSE)*F433)/50,0)*50)</f>
        <v/>
      </c>
    </row>
    <row r="434" spans="7:7">
      <c r="G434" s="5" t="str">
        <f>IF(F434="","",ROUNDUP((HLOOKUP("並",単価表!$B$1:$D$2,2,FALSE)*F434)/50,0)*50)</f>
        <v/>
      </c>
    </row>
    <row r="435" spans="7:7">
      <c r="G435" s="5" t="str">
        <f>IF(F435="","",ROUNDUP((HLOOKUP("並",単価表!$B$1:$D$2,2,FALSE)*F435)/50,0)*50)</f>
        <v/>
      </c>
    </row>
    <row r="436" spans="7:7">
      <c r="G436" s="5" t="str">
        <f>IF(F436="","",ROUNDUP((HLOOKUP("並",単価表!$B$1:$D$2,2,FALSE)*F436)/50,0)*50)</f>
        <v/>
      </c>
    </row>
    <row r="437" spans="7:7">
      <c r="G437" s="5" t="str">
        <f>IF(F437="","",ROUNDUP((HLOOKUP("並",単価表!$B$1:$D$2,2,FALSE)*F437)/50,0)*50)</f>
        <v/>
      </c>
    </row>
    <row r="438" spans="7:7">
      <c r="G438" s="5" t="str">
        <f>IF(F438="","",ROUNDUP((HLOOKUP("並",単価表!$B$1:$D$2,2,FALSE)*F438)/50,0)*50)</f>
        <v/>
      </c>
    </row>
    <row r="439" spans="7:7">
      <c r="G439" s="5" t="str">
        <f>IF(F439="","",ROUNDUP((HLOOKUP("並",単価表!$B$1:$D$2,2,FALSE)*F439)/50,0)*50)</f>
        <v/>
      </c>
    </row>
    <row r="440" spans="7:7">
      <c r="G440" s="5" t="str">
        <f>IF(F440="","",ROUNDUP((HLOOKUP("並",単価表!$B$1:$D$2,2,FALSE)*F440)/50,0)*50)</f>
        <v/>
      </c>
    </row>
    <row r="441" spans="7:7">
      <c r="G441" s="5" t="str">
        <f>IF(F441="","",ROUNDUP((HLOOKUP("並",単価表!$B$1:$D$2,2,FALSE)*F441)/50,0)*50)</f>
        <v/>
      </c>
    </row>
    <row r="442" spans="7:7">
      <c r="G442" s="5" t="str">
        <f>IF(F442="","",ROUNDUP((HLOOKUP("並",単価表!$B$1:$D$2,2,FALSE)*F442)/50,0)*50)</f>
        <v/>
      </c>
    </row>
    <row r="443" spans="7:7">
      <c r="G443" s="5" t="str">
        <f>IF(F443="","",ROUNDUP((HLOOKUP("並",単価表!$B$1:$D$2,2,FALSE)*F443)/50,0)*50)</f>
        <v/>
      </c>
    </row>
    <row r="444" spans="7:7">
      <c r="G444" s="5" t="str">
        <f>IF(F444="","",ROUNDUP((HLOOKUP("並",単価表!$B$1:$D$2,2,FALSE)*F444)/50,0)*50)</f>
        <v/>
      </c>
    </row>
    <row r="445" spans="7:7">
      <c r="G445" s="5" t="str">
        <f>IF(F445="","",ROUNDUP((HLOOKUP("並",単価表!$B$1:$D$2,2,FALSE)*F445)/50,0)*50)</f>
        <v/>
      </c>
    </row>
    <row r="446" spans="7:7">
      <c r="G446" s="5" t="str">
        <f>IF(F446="","",ROUNDUP((HLOOKUP("並",単価表!$B$1:$D$2,2,FALSE)*F446)/50,0)*50)</f>
        <v/>
      </c>
    </row>
    <row r="447" spans="7:7">
      <c r="G447" s="5" t="str">
        <f>IF(F447="","",ROUNDUP((HLOOKUP("並",単価表!$B$1:$D$2,2,FALSE)*F447)/50,0)*50)</f>
        <v/>
      </c>
    </row>
    <row r="448" spans="7:7">
      <c r="G448" s="5" t="str">
        <f>IF(F448="","",ROUNDUP((HLOOKUP("並",単価表!$B$1:$D$2,2,FALSE)*F448)/50,0)*50)</f>
        <v/>
      </c>
    </row>
    <row r="449" spans="7:7">
      <c r="G449" s="5" t="str">
        <f>IF(F449="","",ROUNDUP((HLOOKUP("並",単価表!$B$1:$D$2,2,FALSE)*F449)/50,0)*50)</f>
        <v/>
      </c>
    </row>
    <row r="450" spans="7:7">
      <c r="G450" s="5" t="str">
        <f>IF(F450="","",ROUNDUP((HLOOKUP("並",単価表!$B$1:$D$2,2,FALSE)*F450)/50,0)*50)</f>
        <v/>
      </c>
    </row>
    <row r="451" spans="7:7">
      <c r="G451" s="5" t="str">
        <f>IF(F451="","",ROUNDUP((HLOOKUP("並",単価表!$B$1:$D$2,2,FALSE)*F451)/50,0)*50)</f>
        <v/>
      </c>
    </row>
    <row r="452" spans="7:7">
      <c r="G452" s="5" t="str">
        <f>IF(F452="","",ROUNDUP((HLOOKUP("並",単価表!$B$1:$D$2,2,FALSE)*F452)/50,0)*50)</f>
        <v/>
      </c>
    </row>
    <row r="453" spans="7:7">
      <c r="G453" s="5" t="str">
        <f>IF(F453="","",ROUNDUP((HLOOKUP("並",単価表!$B$1:$D$2,2,FALSE)*F453)/50,0)*50)</f>
        <v/>
      </c>
    </row>
    <row r="454" spans="7:7">
      <c r="G454" s="5" t="str">
        <f>IF(F454="","",ROUNDUP((HLOOKUP("並",単価表!$B$1:$D$2,2,FALSE)*F454)/50,0)*50)</f>
        <v/>
      </c>
    </row>
    <row r="455" spans="7:7">
      <c r="G455" s="5" t="str">
        <f>IF(F455="","",ROUNDUP((HLOOKUP("並",単価表!$B$1:$D$2,2,FALSE)*F455)/50,0)*50)</f>
        <v/>
      </c>
    </row>
    <row r="456" spans="7:7">
      <c r="G456" s="5" t="str">
        <f>IF(F456="","",ROUNDUP((HLOOKUP("並",単価表!$B$1:$D$2,2,FALSE)*F456)/50,0)*50)</f>
        <v/>
      </c>
    </row>
    <row r="457" spans="7:7">
      <c r="G457" s="5" t="str">
        <f>IF(F457="","",ROUNDUP((HLOOKUP("並",単価表!$B$1:$D$2,2,FALSE)*F457)/50,0)*50)</f>
        <v/>
      </c>
    </row>
    <row r="458" spans="7:7">
      <c r="G458" s="5" t="str">
        <f>IF(F458="","",ROUNDUP((HLOOKUP("並",単価表!$B$1:$D$2,2,FALSE)*F458)/50,0)*50)</f>
        <v/>
      </c>
    </row>
    <row r="459" spans="7:7">
      <c r="G459" s="5" t="str">
        <f>IF(F459="","",ROUNDUP((HLOOKUP("並",単価表!$B$1:$D$2,2,FALSE)*F459)/50,0)*50)</f>
        <v/>
      </c>
    </row>
    <row r="460" spans="7:7">
      <c r="G460" s="5" t="str">
        <f>IF(F460="","",ROUNDUP((HLOOKUP("並",単価表!$B$1:$D$2,2,FALSE)*F460)/50,0)*50)</f>
        <v/>
      </c>
    </row>
    <row r="461" spans="7:7">
      <c r="G461" s="5" t="str">
        <f>IF(F461="","",ROUNDUP((HLOOKUP("並",単価表!$B$1:$D$2,2,FALSE)*F461)/50,0)*50)</f>
        <v/>
      </c>
    </row>
    <row r="462" spans="7:7">
      <c r="G462" s="5" t="str">
        <f>IF(F462="","",ROUNDUP((HLOOKUP("並",単価表!$B$1:$D$2,2,FALSE)*F462)/50,0)*50)</f>
        <v/>
      </c>
    </row>
    <row r="463" spans="7:7">
      <c r="G463" s="5" t="str">
        <f>IF(F463="","",ROUNDUP((HLOOKUP("並",単価表!$B$1:$D$2,2,FALSE)*F463)/50,0)*50)</f>
        <v/>
      </c>
    </row>
    <row r="464" spans="7:7">
      <c r="G464" s="5" t="str">
        <f>IF(F464="","",ROUNDUP((HLOOKUP("並",単価表!$B$1:$D$2,2,FALSE)*F464)/50,0)*50)</f>
        <v/>
      </c>
    </row>
    <row r="465" spans="7:7">
      <c r="G465" s="5" t="str">
        <f>IF(F465="","",ROUNDUP((HLOOKUP("並",単価表!$B$1:$D$2,2,FALSE)*F465)/50,0)*50)</f>
        <v/>
      </c>
    </row>
    <row r="466" spans="7:7">
      <c r="G466" s="5" t="str">
        <f>IF(F466="","",ROUNDUP((HLOOKUP("並",単価表!$B$1:$D$2,2,FALSE)*F466)/50,0)*50)</f>
        <v/>
      </c>
    </row>
    <row r="467" spans="7:7">
      <c r="G467" s="5" t="str">
        <f>IF(F467="","",ROUNDUP((HLOOKUP("並",単価表!$B$1:$D$2,2,FALSE)*F467)/50,0)*50)</f>
        <v/>
      </c>
    </row>
    <row r="468" spans="7:7">
      <c r="G468" s="5" t="str">
        <f>IF(F468="","",ROUNDUP((HLOOKUP("並",単価表!$B$1:$D$2,2,FALSE)*F468)/50,0)*50)</f>
        <v/>
      </c>
    </row>
    <row r="469" spans="7:7">
      <c r="G469" s="5" t="str">
        <f>IF(F469="","",ROUNDUP((HLOOKUP("並",単価表!$B$1:$D$2,2,FALSE)*F469)/50,0)*50)</f>
        <v/>
      </c>
    </row>
    <row r="470" spans="7:7">
      <c r="G470" s="5" t="str">
        <f>IF(F470="","",ROUNDUP((HLOOKUP("並",単価表!$B$1:$D$2,2,FALSE)*F470)/50,0)*50)</f>
        <v/>
      </c>
    </row>
    <row r="471" spans="7:7">
      <c r="G471" s="5" t="str">
        <f>IF(F471="","",ROUNDUP((HLOOKUP("並",単価表!$B$1:$D$2,2,FALSE)*F471)/50,0)*50)</f>
        <v/>
      </c>
    </row>
    <row r="472" spans="7:7">
      <c r="G472" s="5" t="str">
        <f>IF(F472="","",ROUNDUP((HLOOKUP("並",単価表!$B$1:$D$2,2,FALSE)*F472)/50,0)*50)</f>
        <v/>
      </c>
    </row>
    <row r="473" spans="7:7">
      <c r="G473" s="5" t="str">
        <f>IF(F473="","",ROUNDUP((HLOOKUP("並",単価表!$B$1:$D$2,2,FALSE)*F473)/50,0)*50)</f>
        <v/>
      </c>
    </row>
    <row r="474" spans="7:7">
      <c r="G474" s="5" t="str">
        <f>IF(F474="","",ROUNDUP((HLOOKUP("並",単価表!$B$1:$D$2,2,FALSE)*F474)/50,0)*50)</f>
        <v/>
      </c>
    </row>
    <row r="475" spans="7:7">
      <c r="G475" s="5" t="str">
        <f>IF(F475="","",ROUNDUP((HLOOKUP("並",単価表!$B$1:$D$2,2,FALSE)*F475)/50,0)*50)</f>
        <v/>
      </c>
    </row>
    <row r="476" spans="7:7">
      <c r="G476" s="5" t="str">
        <f>IF(F476="","",ROUNDUP((HLOOKUP("並",単価表!$B$1:$D$2,2,FALSE)*F476)/50,0)*50)</f>
        <v/>
      </c>
    </row>
    <row r="477" spans="7:7">
      <c r="G477" s="5" t="str">
        <f>IF(F477="","",ROUNDUP((HLOOKUP("並",単価表!$B$1:$D$2,2,FALSE)*F477)/50,0)*50)</f>
        <v/>
      </c>
    </row>
    <row r="478" spans="7:7">
      <c r="G478" s="5" t="str">
        <f>IF(F478="","",ROUNDUP((HLOOKUP("並",単価表!$B$1:$D$2,2,FALSE)*F478)/50,0)*50)</f>
        <v/>
      </c>
    </row>
    <row r="479" spans="7:7">
      <c r="G479" s="5" t="str">
        <f>IF(F479="","",ROUNDUP((HLOOKUP("並",単価表!$B$1:$D$2,2,FALSE)*F479)/50,0)*50)</f>
        <v/>
      </c>
    </row>
    <row r="480" spans="7:7">
      <c r="G480" s="5" t="str">
        <f>IF(F480="","",ROUNDUP((HLOOKUP("並",単価表!$B$1:$D$2,2,FALSE)*F480)/50,0)*50)</f>
        <v/>
      </c>
    </row>
    <row r="481" spans="7:7">
      <c r="G481" s="5" t="str">
        <f>IF(F481="","",ROUNDUP((HLOOKUP("並",単価表!$B$1:$D$2,2,FALSE)*F481)/50,0)*50)</f>
        <v/>
      </c>
    </row>
    <row r="482" spans="7:7">
      <c r="G482" s="5" t="str">
        <f>IF(F482="","",ROUNDUP((HLOOKUP("並",単価表!$B$1:$D$2,2,FALSE)*F482)/50,0)*50)</f>
        <v/>
      </c>
    </row>
    <row r="483" spans="7:7">
      <c r="G483" s="5" t="str">
        <f>IF(F483="","",ROUNDUP((HLOOKUP("並",単価表!$B$1:$D$2,2,FALSE)*F483)/50,0)*50)</f>
        <v/>
      </c>
    </row>
    <row r="484" spans="7:7">
      <c r="G484" s="5" t="str">
        <f>IF(F484="","",ROUNDUP((HLOOKUP("並",単価表!$B$1:$D$2,2,FALSE)*F484)/50,0)*50)</f>
        <v/>
      </c>
    </row>
    <row r="485" spans="7:7">
      <c r="G485" s="5" t="str">
        <f>IF(F485="","",ROUNDUP((HLOOKUP("並",単価表!$B$1:$D$2,2,FALSE)*F485)/50,0)*50)</f>
        <v/>
      </c>
    </row>
    <row r="486" spans="7:7">
      <c r="G486" s="5" t="str">
        <f>IF(F486="","",ROUNDUP((HLOOKUP("並",単価表!$B$1:$D$2,2,FALSE)*F486)/50,0)*50)</f>
        <v/>
      </c>
    </row>
    <row r="487" spans="7:7">
      <c r="G487" s="5" t="str">
        <f>IF(F487="","",ROUNDUP((HLOOKUP("並",単価表!$B$1:$D$2,2,FALSE)*F487)/50,0)*50)</f>
        <v/>
      </c>
    </row>
    <row r="488" spans="7:7">
      <c r="G488" s="5" t="str">
        <f>IF(F488="","",ROUNDUP((HLOOKUP("並",単価表!$B$1:$D$2,2,FALSE)*F488)/50,0)*50)</f>
        <v/>
      </c>
    </row>
    <row r="489" spans="7:7">
      <c r="G489" s="5" t="str">
        <f>IF(F489="","",ROUNDUP((HLOOKUP("並",単価表!$B$1:$D$2,2,FALSE)*F489)/50,0)*50)</f>
        <v/>
      </c>
    </row>
    <row r="490" spans="7:7">
      <c r="G490" s="5" t="str">
        <f>IF(F490="","",ROUNDUP((HLOOKUP("並",単価表!$B$1:$D$2,2,FALSE)*F490)/50,0)*50)</f>
        <v/>
      </c>
    </row>
    <row r="491" spans="7:7">
      <c r="G491" s="5" t="str">
        <f>IF(F491="","",ROUNDUP((HLOOKUP("並",単価表!$B$1:$D$2,2,FALSE)*F491)/50,0)*50)</f>
        <v/>
      </c>
    </row>
    <row r="492" spans="7:7">
      <c r="G492" s="5" t="str">
        <f>IF(F492="","",ROUNDUP((HLOOKUP("並",単価表!$B$1:$D$2,2,FALSE)*F492)/50,0)*50)</f>
        <v/>
      </c>
    </row>
    <row r="493" spans="7:7">
      <c r="G493" s="5" t="str">
        <f>IF(F493="","",ROUNDUP((HLOOKUP("並",単価表!$B$1:$D$2,2,FALSE)*F493)/50,0)*50)</f>
        <v/>
      </c>
    </row>
    <row r="494" spans="7:7">
      <c r="G494" s="5" t="str">
        <f>IF(F494="","",ROUNDUP((HLOOKUP("並",単価表!$B$1:$D$2,2,FALSE)*F494)/50,0)*50)</f>
        <v/>
      </c>
    </row>
    <row r="495" spans="7:7">
      <c r="G495" s="5" t="str">
        <f>IF(F495="","",ROUNDUP((HLOOKUP("並",単価表!$B$1:$D$2,2,FALSE)*F495)/50,0)*50)</f>
        <v/>
      </c>
    </row>
    <row r="496" spans="7:7">
      <c r="G496" s="5" t="str">
        <f>IF(F496="","",ROUNDUP((HLOOKUP("並",単価表!$B$1:$D$2,2,FALSE)*F496)/50,0)*50)</f>
        <v/>
      </c>
    </row>
    <row r="497" spans="7:7">
      <c r="G497" s="5" t="str">
        <f>IF(F497="","",ROUNDUP((HLOOKUP("並",単価表!$B$1:$D$2,2,FALSE)*F497)/50,0)*50)</f>
        <v/>
      </c>
    </row>
    <row r="498" spans="7:7">
      <c r="G498" s="5" t="str">
        <f>IF(F498="","",ROUNDUP((HLOOKUP("並",単価表!$B$1:$D$2,2,FALSE)*F498)/50,0)*50)</f>
        <v/>
      </c>
    </row>
    <row r="499" spans="7:7">
      <c r="G499" s="5" t="str">
        <f>IF(F499="","",ROUNDUP((HLOOKUP("並",単価表!$B$1:$D$2,2,FALSE)*F499)/50,0)*50)</f>
        <v/>
      </c>
    </row>
    <row r="500" spans="7:7">
      <c r="G500" s="5" t="str">
        <f>IF(F500="","",ROUNDUP((HLOOKUP("並",単価表!$B$1:$D$2,2,FALSE)*F500)/50,0)*50)</f>
        <v/>
      </c>
    </row>
    <row r="501" spans="7:7">
      <c r="G501" s="5" t="str">
        <f>IF(F501="","",ROUNDUP((HLOOKUP("並",単価表!$B$1:$D$2,2,FALSE)*F501)/50,0)*50)</f>
        <v/>
      </c>
    </row>
    <row r="502" spans="7:7">
      <c r="G502" s="5" t="str">
        <f>IF(F502="","",ROUNDUP((HLOOKUP("並",単価表!$B$1:$D$2,2,FALSE)*F502)/50,0)*50)</f>
        <v/>
      </c>
    </row>
    <row r="503" spans="7:7">
      <c r="G503" s="5" t="str">
        <f>IF(F503="","",ROUNDUP((HLOOKUP("並",単価表!$B$1:$D$2,2,FALSE)*F503)/50,0)*50)</f>
        <v/>
      </c>
    </row>
    <row r="504" spans="7:7">
      <c r="G504" s="5" t="str">
        <f>IF(F504="","",ROUNDUP((HLOOKUP("並",単価表!$B$1:$D$2,2,FALSE)*F504)/50,0)*50)</f>
        <v/>
      </c>
    </row>
    <row r="505" spans="7:7">
      <c r="G505" s="5" t="str">
        <f>IF(F505="","",ROUNDUP((HLOOKUP("並",単価表!$B$1:$D$2,2,FALSE)*F505)/50,0)*50)</f>
        <v/>
      </c>
    </row>
    <row r="506" spans="7:7">
      <c r="G506" s="5" t="str">
        <f>IF(F506="","",ROUNDUP((HLOOKUP("並",単価表!$B$1:$D$2,2,FALSE)*F506)/50,0)*50)</f>
        <v/>
      </c>
    </row>
    <row r="507" spans="7:7">
      <c r="G507" s="5" t="str">
        <f>IF(F507="","",ROUNDUP((HLOOKUP("並",単価表!$B$1:$D$2,2,FALSE)*F507)/50,0)*50)</f>
        <v/>
      </c>
    </row>
    <row r="508" spans="7:7">
      <c r="G508" s="5" t="str">
        <f>IF(F508="","",ROUNDUP((HLOOKUP("並",単価表!$B$1:$D$2,2,FALSE)*F508)/50,0)*50)</f>
        <v/>
      </c>
    </row>
    <row r="509" spans="7:7">
      <c r="G509" s="5" t="str">
        <f>IF(F509="","",ROUNDUP((HLOOKUP("並",単価表!$B$1:$D$2,2,FALSE)*F509)/50,0)*50)</f>
        <v/>
      </c>
    </row>
    <row r="510" spans="7:7">
      <c r="G510" s="5" t="str">
        <f>IF(F510="","",ROUNDUP((HLOOKUP("並",単価表!$B$1:$D$2,2,FALSE)*F510)/50,0)*50)</f>
        <v/>
      </c>
    </row>
    <row r="511" spans="7:7">
      <c r="G511" s="5" t="str">
        <f>IF(F511="","",ROUNDUP((HLOOKUP("並",単価表!$B$1:$D$2,2,FALSE)*F511)/50,0)*50)</f>
        <v/>
      </c>
    </row>
    <row r="512" spans="7:7">
      <c r="G512" s="5" t="str">
        <f>IF(F512="","",ROUNDUP((HLOOKUP("並",単価表!$B$1:$D$2,2,FALSE)*F512)/50,0)*50)</f>
        <v/>
      </c>
    </row>
    <row r="513" spans="7:7">
      <c r="G513" s="5" t="str">
        <f>IF(F513="","",ROUNDUP((HLOOKUP("並",単価表!$B$1:$D$2,2,FALSE)*F513)/50,0)*50)</f>
        <v/>
      </c>
    </row>
    <row r="514" spans="7:7">
      <c r="G514" s="5" t="str">
        <f>IF(F514="","",ROUNDUP((HLOOKUP("並",単価表!$B$1:$D$2,2,FALSE)*F514)/50,0)*50)</f>
        <v/>
      </c>
    </row>
    <row r="515" spans="7:7">
      <c r="G515" s="5" t="str">
        <f>IF(F515="","",ROUNDUP((HLOOKUP("並",単価表!$B$1:$D$2,2,FALSE)*F515)/50,0)*50)</f>
        <v/>
      </c>
    </row>
    <row r="516" spans="7:7">
      <c r="G516" s="5" t="str">
        <f>IF(F516="","",ROUNDUP((HLOOKUP("並",単価表!$B$1:$D$2,2,FALSE)*F516)/50,0)*50)</f>
        <v/>
      </c>
    </row>
    <row r="517" spans="7:7">
      <c r="G517" s="5" t="str">
        <f>IF(F517="","",ROUNDUP((HLOOKUP("並",単価表!$B$1:$D$2,2,FALSE)*F517)/50,0)*50)</f>
        <v/>
      </c>
    </row>
    <row r="518" spans="7:7">
      <c r="G518" s="5" t="str">
        <f>IF(F518="","",ROUNDUP((HLOOKUP("並",単価表!$B$1:$D$2,2,FALSE)*F518)/50,0)*50)</f>
        <v/>
      </c>
    </row>
    <row r="519" spans="7:7">
      <c r="G519" s="5" t="str">
        <f>IF(F519="","",ROUNDUP((HLOOKUP("並",単価表!$B$1:$D$2,2,FALSE)*F519)/50,0)*50)</f>
        <v/>
      </c>
    </row>
    <row r="520" spans="7:7">
      <c r="G520" s="5" t="str">
        <f>IF(F520="","",ROUNDUP((HLOOKUP("並",単価表!$B$1:$D$2,2,FALSE)*F520)/50,0)*50)</f>
        <v/>
      </c>
    </row>
    <row r="521" spans="7:7">
      <c r="G521" s="5" t="str">
        <f>IF(F521="","",ROUNDUP((HLOOKUP("並",単価表!$B$1:$D$2,2,FALSE)*F521)/50,0)*50)</f>
        <v/>
      </c>
    </row>
    <row r="522" spans="7:7">
      <c r="G522" s="5" t="str">
        <f>IF(F522="","",ROUNDUP((HLOOKUP("並",単価表!$B$1:$D$2,2,FALSE)*F522)/50,0)*50)</f>
        <v/>
      </c>
    </row>
    <row r="523" spans="7:7">
      <c r="G523" s="5" t="str">
        <f>IF(F523="","",ROUNDUP((HLOOKUP("並",単価表!$B$1:$D$2,2,FALSE)*F523)/50,0)*50)</f>
        <v/>
      </c>
    </row>
    <row r="524" spans="7:7">
      <c r="G524" s="5" t="str">
        <f>IF(F524="","",ROUNDUP((HLOOKUP("並",単価表!$B$1:$D$2,2,FALSE)*F524)/50,0)*50)</f>
        <v/>
      </c>
    </row>
    <row r="525" spans="7:7">
      <c r="G525" s="5" t="str">
        <f>IF(F525="","",ROUNDUP((HLOOKUP("並",単価表!$B$1:$D$2,2,FALSE)*F525)/50,0)*50)</f>
        <v/>
      </c>
    </row>
    <row r="526" spans="7:7">
      <c r="G526" s="5" t="str">
        <f>IF(F526="","",ROUNDUP((HLOOKUP("並",単価表!$B$1:$D$2,2,FALSE)*F526)/50,0)*50)</f>
        <v/>
      </c>
    </row>
    <row r="527" spans="7:7">
      <c r="G527" s="5" t="str">
        <f>IF(F527="","",ROUNDUP((HLOOKUP("並",単価表!$B$1:$D$2,2,FALSE)*F527)/50,0)*50)</f>
        <v/>
      </c>
    </row>
    <row r="528" spans="7:7">
      <c r="G528" s="5" t="str">
        <f>IF(F528="","",ROUNDUP((HLOOKUP("並",単価表!$B$1:$D$2,2,FALSE)*F528)/50,0)*50)</f>
        <v/>
      </c>
    </row>
    <row r="529" spans="7:7">
      <c r="G529" s="5" t="str">
        <f>IF(F529="","",ROUNDUP((HLOOKUP("並",単価表!$B$1:$D$2,2,FALSE)*F529)/50,0)*50)</f>
        <v/>
      </c>
    </row>
    <row r="530" spans="7:7">
      <c r="G530" s="5" t="str">
        <f>IF(F530="","",ROUNDUP((HLOOKUP("並",単価表!$B$1:$D$2,2,FALSE)*F530)/50,0)*50)</f>
        <v/>
      </c>
    </row>
    <row r="531" spans="7:7">
      <c r="G531" s="5" t="str">
        <f>IF(F531="","",ROUNDUP((HLOOKUP("並",単価表!$B$1:$D$2,2,FALSE)*F531)/50,0)*50)</f>
        <v/>
      </c>
    </row>
    <row r="532" spans="7:7">
      <c r="G532" s="5" t="str">
        <f>IF(F532="","",ROUNDUP((HLOOKUP("並",単価表!$B$1:$D$2,2,FALSE)*F532)/50,0)*50)</f>
        <v/>
      </c>
    </row>
    <row r="533" spans="7:7">
      <c r="G533" s="5" t="str">
        <f>IF(F533="","",ROUNDUP((HLOOKUP("並",単価表!$B$1:$D$2,2,FALSE)*F533)/50,0)*50)</f>
        <v/>
      </c>
    </row>
    <row r="534" spans="7:7">
      <c r="G534" s="5" t="str">
        <f>IF(F534="","",ROUNDUP((HLOOKUP("並",単価表!$B$1:$D$2,2,FALSE)*F534)/50,0)*50)</f>
        <v/>
      </c>
    </row>
    <row r="535" spans="7:7">
      <c r="G535" s="5" t="str">
        <f>IF(F535="","",ROUNDUP((HLOOKUP("並",単価表!$B$1:$D$2,2,FALSE)*F535)/50,0)*50)</f>
        <v/>
      </c>
    </row>
    <row r="536" spans="7:7">
      <c r="G536" s="5" t="str">
        <f>IF(F536="","",ROUNDUP((HLOOKUP("並",単価表!$B$1:$D$2,2,FALSE)*F536)/50,0)*50)</f>
        <v/>
      </c>
    </row>
    <row r="537" spans="7:7">
      <c r="G537" s="5" t="str">
        <f>IF(F537="","",ROUNDUP((HLOOKUP("並",単価表!$B$1:$D$2,2,FALSE)*F537)/50,0)*50)</f>
        <v/>
      </c>
    </row>
    <row r="538" spans="7:7">
      <c r="G538" s="5" t="str">
        <f>IF(F538="","",ROUNDUP((HLOOKUP("並",単価表!$B$1:$D$2,2,FALSE)*F538)/50,0)*50)</f>
        <v/>
      </c>
    </row>
    <row r="539" spans="7:7">
      <c r="G539" s="5" t="str">
        <f>IF(F539="","",ROUNDUP((HLOOKUP("並",単価表!$B$1:$D$2,2,FALSE)*F539)/50,0)*50)</f>
        <v/>
      </c>
    </row>
    <row r="540" spans="7:7">
      <c r="G540" s="5" t="str">
        <f>IF(F540="","",ROUNDUP((HLOOKUP("並",単価表!$B$1:$D$2,2,FALSE)*F540)/50,0)*50)</f>
        <v/>
      </c>
    </row>
    <row r="541" spans="7:7">
      <c r="G541" s="5" t="str">
        <f>IF(F541="","",ROUNDUP((HLOOKUP("並",単価表!$B$1:$D$2,2,FALSE)*F541)/50,0)*50)</f>
        <v/>
      </c>
    </row>
    <row r="542" spans="7:7">
      <c r="G542" s="5" t="str">
        <f>IF(F542="","",ROUNDUP((HLOOKUP("並",単価表!$B$1:$D$2,2,FALSE)*F542)/50,0)*50)</f>
        <v/>
      </c>
    </row>
    <row r="543" spans="7:7">
      <c r="G543" s="5" t="str">
        <f>IF(F543="","",ROUNDUP((HLOOKUP("並",単価表!$B$1:$D$2,2,FALSE)*F543)/50,0)*50)</f>
        <v/>
      </c>
    </row>
    <row r="544" spans="7:7">
      <c r="G544" s="5" t="str">
        <f>IF(F544="","",ROUNDUP((HLOOKUP("並",単価表!$B$1:$D$2,2,FALSE)*F544)/50,0)*50)</f>
        <v/>
      </c>
    </row>
    <row r="545" spans="7:7">
      <c r="G545" s="5" t="str">
        <f>IF(F545="","",ROUNDUP((HLOOKUP("並",単価表!$B$1:$D$2,2,FALSE)*F545)/50,0)*50)</f>
        <v/>
      </c>
    </row>
    <row r="546" spans="7:7">
      <c r="G546" s="5" t="str">
        <f>IF(F546="","",ROUNDUP((HLOOKUP("並",単価表!$B$1:$D$2,2,FALSE)*F546)/50,0)*50)</f>
        <v/>
      </c>
    </row>
    <row r="547" spans="7:7">
      <c r="G547" s="5" t="str">
        <f>IF(F547="","",ROUNDUP((HLOOKUP("並",単価表!$B$1:$D$2,2,FALSE)*F547)/50,0)*50)</f>
        <v/>
      </c>
    </row>
    <row r="548" spans="7:7">
      <c r="G548" s="5" t="str">
        <f>IF(F548="","",ROUNDUP((HLOOKUP("並",単価表!$B$1:$D$2,2,FALSE)*F548)/50,0)*50)</f>
        <v/>
      </c>
    </row>
    <row r="549" spans="7:7">
      <c r="G549" s="5" t="str">
        <f>IF(F549="","",ROUNDUP((HLOOKUP("並",単価表!$B$1:$D$2,2,FALSE)*F549)/50,0)*50)</f>
        <v/>
      </c>
    </row>
    <row r="550" spans="7:7">
      <c r="G550" s="5" t="str">
        <f>IF(F550="","",ROUNDUP((HLOOKUP("並",単価表!$B$1:$D$2,2,FALSE)*F550)/50,0)*50)</f>
        <v/>
      </c>
    </row>
    <row r="551" spans="7:7">
      <c r="G551" s="5" t="str">
        <f>IF(F551="","",ROUNDUP((HLOOKUP("並",単価表!$B$1:$D$2,2,FALSE)*F551)/50,0)*50)</f>
        <v/>
      </c>
    </row>
    <row r="552" spans="7:7">
      <c r="G552" s="5" t="str">
        <f>IF(F552="","",ROUNDUP((HLOOKUP("並",単価表!$B$1:$D$2,2,FALSE)*F552)/50,0)*50)</f>
        <v/>
      </c>
    </row>
    <row r="553" spans="7:7">
      <c r="G553" s="5" t="str">
        <f>IF(F553="","",ROUNDUP((HLOOKUP("並",単価表!$B$1:$D$2,2,FALSE)*F553)/50,0)*50)</f>
        <v/>
      </c>
    </row>
    <row r="554" spans="7:7">
      <c r="G554" s="5" t="str">
        <f>IF(F554="","",ROUNDUP((HLOOKUP("並",単価表!$B$1:$D$2,2,FALSE)*F554)/50,0)*50)</f>
        <v/>
      </c>
    </row>
    <row r="555" spans="7:7">
      <c r="G555" s="5" t="str">
        <f>IF(F555="","",ROUNDUP((HLOOKUP("並",単価表!$B$1:$D$2,2,FALSE)*F555)/50,0)*50)</f>
        <v/>
      </c>
    </row>
    <row r="556" spans="7:7">
      <c r="G556" s="5" t="str">
        <f>IF(F556="","",ROUNDUP((HLOOKUP("並",単価表!$B$1:$D$2,2,FALSE)*F556)/50,0)*50)</f>
        <v/>
      </c>
    </row>
    <row r="557" spans="7:7">
      <c r="G557" s="5" t="str">
        <f>IF(F557="","",ROUNDUP((HLOOKUP("並",単価表!$B$1:$D$2,2,FALSE)*F557)/50,0)*50)</f>
        <v/>
      </c>
    </row>
    <row r="558" spans="7:7">
      <c r="G558" s="5" t="str">
        <f>IF(F558="","",ROUNDUP((HLOOKUP("並",単価表!$B$1:$D$2,2,FALSE)*F558)/50,0)*50)</f>
        <v/>
      </c>
    </row>
    <row r="559" spans="7:7">
      <c r="G559" s="5" t="str">
        <f>IF(F559="","",ROUNDUP((HLOOKUP("並",単価表!$B$1:$D$2,2,FALSE)*F559)/50,0)*50)</f>
        <v/>
      </c>
    </row>
    <row r="560" spans="7:7">
      <c r="G560" s="5" t="str">
        <f>IF(F560="","",ROUNDUP((HLOOKUP("並",単価表!$B$1:$D$2,2,FALSE)*F560)/50,0)*50)</f>
        <v/>
      </c>
    </row>
    <row r="561" spans="7:7">
      <c r="G561" s="5" t="str">
        <f>IF(F561="","",ROUNDUP((HLOOKUP("並",単価表!$B$1:$D$2,2,FALSE)*F561)/50,0)*50)</f>
        <v/>
      </c>
    </row>
    <row r="562" spans="7:7">
      <c r="G562" s="5" t="str">
        <f>IF(F562="","",ROUNDUP((HLOOKUP("並",単価表!$B$1:$D$2,2,FALSE)*F562)/50,0)*50)</f>
        <v/>
      </c>
    </row>
    <row r="563" spans="7:7">
      <c r="G563" s="5" t="str">
        <f>IF(F563="","",ROUNDUP((HLOOKUP("並",単価表!$B$1:$D$2,2,FALSE)*F563)/50,0)*50)</f>
        <v/>
      </c>
    </row>
    <row r="564" spans="7:7">
      <c r="G564" s="5" t="str">
        <f>IF(F564="","",ROUNDUP((HLOOKUP("並",単価表!$B$1:$D$2,2,FALSE)*F564)/50,0)*50)</f>
        <v/>
      </c>
    </row>
    <row r="565" spans="7:7">
      <c r="G565" s="5" t="str">
        <f>IF(F565="","",ROUNDUP((HLOOKUP("並",単価表!$B$1:$D$2,2,FALSE)*F565)/50,0)*50)</f>
        <v/>
      </c>
    </row>
    <row r="566" spans="7:7">
      <c r="G566" s="5" t="str">
        <f>IF(F566="","",ROUNDUP((HLOOKUP("並",単価表!$B$1:$D$2,2,FALSE)*F566)/50,0)*50)</f>
        <v/>
      </c>
    </row>
    <row r="567" spans="7:7">
      <c r="G567" s="5" t="str">
        <f>IF(F567="","",ROUNDUP((HLOOKUP("並",単価表!$B$1:$D$2,2,FALSE)*F567)/50,0)*50)</f>
        <v/>
      </c>
    </row>
    <row r="568" spans="7:7">
      <c r="G568" s="5" t="str">
        <f>IF(F568="","",ROUNDUP((HLOOKUP("並",単価表!$B$1:$D$2,2,FALSE)*F568)/50,0)*50)</f>
        <v/>
      </c>
    </row>
    <row r="569" spans="7:7">
      <c r="G569" s="5" t="str">
        <f>IF(F569="","",ROUNDUP((HLOOKUP("並",単価表!$B$1:$D$2,2,FALSE)*F569)/50,0)*50)</f>
        <v/>
      </c>
    </row>
    <row r="570" spans="7:7">
      <c r="G570" s="5" t="str">
        <f>IF(F570="","",ROUNDUP((HLOOKUP("並",単価表!$B$1:$D$2,2,FALSE)*F570)/50,0)*50)</f>
        <v/>
      </c>
    </row>
    <row r="571" spans="7:7">
      <c r="G571" s="5" t="str">
        <f>IF(F571="","",ROUNDUP((HLOOKUP("並",単価表!$B$1:$D$2,2,FALSE)*F571)/50,0)*50)</f>
        <v/>
      </c>
    </row>
    <row r="572" spans="7:7">
      <c r="G572" s="5" t="str">
        <f>IF(F572="","",ROUNDUP((HLOOKUP("並",単価表!$B$1:$D$2,2,FALSE)*F572)/50,0)*50)</f>
        <v/>
      </c>
    </row>
    <row r="573" spans="7:7">
      <c r="G573" s="5" t="str">
        <f>IF(F573="","",ROUNDUP((HLOOKUP("並",単価表!$B$1:$D$2,2,FALSE)*F573)/50,0)*50)</f>
        <v/>
      </c>
    </row>
    <row r="574" spans="7:7">
      <c r="G574" s="5" t="str">
        <f>IF(F574="","",ROUNDUP((HLOOKUP("並",単価表!$B$1:$D$2,2,FALSE)*F574)/50,0)*50)</f>
        <v/>
      </c>
    </row>
    <row r="575" spans="7:7">
      <c r="G575" s="5" t="str">
        <f>IF(F575="","",ROUNDUP((HLOOKUP("並",単価表!$B$1:$D$2,2,FALSE)*F575)/50,0)*50)</f>
        <v/>
      </c>
    </row>
    <row r="576" spans="7:7">
      <c r="G576" s="5" t="str">
        <f>IF(F576="","",ROUNDUP((HLOOKUP("並",単価表!$B$1:$D$2,2,FALSE)*F576)/50,0)*50)</f>
        <v/>
      </c>
    </row>
    <row r="577" spans="7:7">
      <c r="G577" s="5" t="str">
        <f>IF(F577="","",ROUNDUP((HLOOKUP("並",単価表!$B$1:$D$2,2,FALSE)*F577)/50,0)*50)</f>
        <v/>
      </c>
    </row>
    <row r="578" spans="7:7">
      <c r="G578" s="5" t="str">
        <f>IF(F578="","",ROUNDUP((HLOOKUP("並",単価表!$B$1:$D$2,2,FALSE)*F578)/50,0)*50)</f>
        <v/>
      </c>
    </row>
    <row r="579" spans="7:7">
      <c r="G579" s="5" t="str">
        <f>IF(F579="","",ROUNDUP((HLOOKUP("並",単価表!$B$1:$D$2,2,FALSE)*F579)/50,0)*50)</f>
        <v/>
      </c>
    </row>
    <row r="580" spans="7:7">
      <c r="G580" s="5" t="str">
        <f>IF(F580="","",ROUNDUP((HLOOKUP("並",単価表!$B$1:$D$2,2,FALSE)*F580)/50,0)*50)</f>
        <v/>
      </c>
    </row>
    <row r="581" spans="7:7">
      <c r="G581" s="5" t="str">
        <f>IF(F581="","",ROUNDUP((HLOOKUP("並",単価表!$B$1:$D$2,2,FALSE)*F581)/50,0)*50)</f>
        <v/>
      </c>
    </row>
    <row r="582" spans="7:7">
      <c r="G582" s="5" t="str">
        <f>IF(F582="","",ROUNDUP((HLOOKUP("並",単価表!$B$1:$D$2,2,FALSE)*F582)/50,0)*50)</f>
        <v/>
      </c>
    </row>
    <row r="583" spans="7:7">
      <c r="G583" s="5" t="str">
        <f>IF(F583="","",ROUNDUP((HLOOKUP("並",単価表!$B$1:$D$2,2,FALSE)*F583)/50,0)*50)</f>
        <v/>
      </c>
    </row>
    <row r="584" spans="7:7">
      <c r="G584" s="5" t="str">
        <f>IF(F584="","",ROUNDUP((HLOOKUP("並",単価表!$B$1:$D$2,2,FALSE)*F584)/50,0)*50)</f>
        <v/>
      </c>
    </row>
    <row r="585" spans="7:7">
      <c r="G585" s="5" t="str">
        <f>IF(F585="","",ROUNDUP((HLOOKUP("並",単価表!$B$1:$D$2,2,FALSE)*F585)/50,0)*50)</f>
        <v/>
      </c>
    </row>
    <row r="586" spans="7:7">
      <c r="G586" s="5" t="str">
        <f>IF(F586="","",ROUNDUP((HLOOKUP("並",単価表!$B$1:$D$2,2,FALSE)*F586)/50,0)*50)</f>
        <v/>
      </c>
    </row>
    <row r="587" spans="7:7">
      <c r="G587" s="5" t="str">
        <f>IF(F587="","",ROUNDUP((HLOOKUP("並",単価表!$B$1:$D$2,2,FALSE)*F587)/50,0)*50)</f>
        <v/>
      </c>
    </row>
    <row r="588" spans="7:7">
      <c r="G588" s="5" t="str">
        <f>IF(F588="","",ROUNDUP((HLOOKUP("並",単価表!$B$1:$D$2,2,FALSE)*F588)/50,0)*50)</f>
        <v/>
      </c>
    </row>
    <row r="589" spans="7:7">
      <c r="G589" s="5" t="str">
        <f>IF(F589="","",ROUNDUP((HLOOKUP("並",単価表!$B$1:$D$2,2,FALSE)*F589)/50,0)*50)</f>
        <v/>
      </c>
    </row>
    <row r="590" spans="7:7">
      <c r="G590" s="5" t="str">
        <f>IF(F590="","",ROUNDUP((HLOOKUP("並",単価表!$B$1:$D$2,2,FALSE)*F590)/50,0)*50)</f>
        <v/>
      </c>
    </row>
    <row r="591" spans="7:7">
      <c r="G591" s="5" t="str">
        <f>IF(F591="","",ROUNDUP((HLOOKUP("並",単価表!$B$1:$D$2,2,FALSE)*F591)/50,0)*50)</f>
        <v/>
      </c>
    </row>
    <row r="592" spans="7:7">
      <c r="G592" s="5" t="str">
        <f>IF(F592="","",ROUNDUP((HLOOKUP("並",単価表!$B$1:$D$2,2,FALSE)*F592)/50,0)*50)</f>
        <v/>
      </c>
    </row>
    <row r="593" spans="7:7">
      <c r="G593" s="5" t="str">
        <f>IF(F593="","",ROUNDUP((HLOOKUP("並",単価表!$B$1:$D$2,2,FALSE)*F593)/50,0)*50)</f>
        <v/>
      </c>
    </row>
    <row r="594" spans="7:7">
      <c r="G594" s="5" t="str">
        <f>IF(F594="","",ROUNDUP((HLOOKUP("並",単価表!$B$1:$D$2,2,FALSE)*F594)/50,0)*50)</f>
        <v/>
      </c>
    </row>
    <row r="595" spans="7:7">
      <c r="G595" s="5" t="str">
        <f>IF(F595="","",ROUNDUP((HLOOKUP("並",単価表!$B$1:$D$2,2,FALSE)*F595)/50,0)*50)</f>
        <v/>
      </c>
    </row>
    <row r="596" spans="7:7">
      <c r="G596" s="5" t="str">
        <f>IF(F596="","",ROUNDUP((HLOOKUP("並",単価表!$B$1:$D$2,2,FALSE)*F596)/50,0)*50)</f>
        <v/>
      </c>
    </row>
    <row r="597" spans="7:7">
      <c r="G597" s="5" t="str">
        <f>IF(F597="","",ROUNDUP((HLOOKUP("並",単価表!$B$1:$D$2,2,FALSE)*F597)/50,0)*50)</f>
        <v/>
      </c>
    </row>
    <row r="598" spans="7:7">
      <c r="G598" s="5" t="str">
        <f>IF(F598="","",ROUNDUP((HLOOKUP("並",単価表!$B$1:$D$2,2,FALSE)*F598)/50,0)*50)</f>
        <v/>
      </c>
    </row>
    <row r="599" spans="7:7">
      <c r="G599" s="5" t="str">
        <f>IF(F599="","",ROUNDUP((HLOOKUP("並",単価表!$B$1:$D$2,2,FALSE)*F599)/50,0)*50)</f>
        <v/>
      </c>
    </row>
    <row r="600" spans="7:7">
      <c r="G600" s="5" t="str">
        <f>IF(F600="","",ROUNDUP((HLOOKUP("並",単価表!$B$1:$D$2,2,FALSE)*F600)/50,0)*50)</f>
        <v/>
      </c>
    </row>
    <row r="601" spans="7:7">
      <c r="G601" s="5" t="str">
        <f>IF(F601="","",ROUNDUP((HLOOKUP("並",単価表!$B$1:$D$2,2,FALSE)*F601)/50,0)*50)</f>
        <v/>
      </c>
    </row>
    <row r="602" spans="7:7">
      <c r="G602" s="5" t="str">
        <f>IF(F602="","",ROUNDUP((HLOOKUP("並",単価表!$B$1:$D$2,2,FALSE)*F602)/50,0)*50)</f>
        <v/>
      </c>
    </row>
    <row r="603" spans="7:7">
      <c r="G603" s="5" t="str">
        <f>IF(F603="","",ROUNDUP((HLOOKUP("並",単価表!$B$1:$D$2,2,FALSE)*F603)/50,0)*50)</f>
        <v/>
      </c>
    </row>
    <row r="604" spans="7:7">
      <c r="G604" s="5" t="str">
        <f>IF(F604="","",ROUNDUP((HLOOKUP("並",単価表!$B$1:$D$2,2,FALSE)*F604)/50,0)*50)</f>
        <v/>
      </c>
    </row>
    <row r="605" spans="7:7">
      <c r="G605" s="5" t="str">
        <f>IF(F605="","",ROUNDUP((HLOOKUP("並",単価表!$B$1:$D$2,2,FALSE)*F605)/50,0)*50)</f>
        <v/>
      </c>
    </row>
    <row r="606" spans="7:7">
      <c r="G606" s="5" t="str">
        <f>IF(F606="","",ROUNDUP((HLOOKUP("並",単価表!$B$1:$D$2,2,FALSE)*F606)/50,0)*50)</f>
        <v/>
      </c>
    </row>
    <row r="607" spans="7:7">
      <c r="G607" s="5" t="str">
        <f>IF(F607="","",ROUNDUP((HLOOKUP("並",単価表!$B$1:$D$2,2,FALSE)*F607)/50,0)*50)</f>
        <v/>
      </c>
    </row>
    <row r="608" spans="7:7">
      <c r="G608" s="5" t="str">
        <f>IF(F608="","",ROUNDUP((HLOOKUP("並",単価表!$B$1:$D$2,2,FALSE)*F608)/50,0)*50)</f>
        <v/>
      </c>
    </row>
    <row r="609" spans="7:7">
      <c r="G609" s="5" t="str">
        <f>IF(F609="","",ROUNDUP((HLOOKUP("並",単価表!$B$1:$D$2,2,FALSE)*F609)/50,0)*50)</f>
        <v/>
      </c>
    </row>
    <row r="610" spans="7:7">
      <c r="G610" s="5" t="str">
        <f>IF(F610="","",ROUNDUP((HLOOKUP("並",単価表!$B$1:$D$2,2,FALSE)*F610)/50,0)*50)</f>
        <v/>
      </c>
    </row>
    <row r="611" spans="7:7">
      <c r="G611" s="5" t="str">
        <f>IF(F611="","",ROUNDUP((HLOOKUP("並",単価表!$B$1:$D$2,2,FALSE)*F611)/50,0)*50)</f>
        <v/>
      </c>
    </row>
    <row r="612" spans="7:7">
      <c r="G612" s="5" t="str">
        <f>IF(F612="","",ROUNDUP((HLOOKUP("並",単価表!$B$1:$D$2,2,FALSE)*F612)/50,0)*50)</f>
        <v/>
      </c>
    </row>
    <row r="613" spans="7:7">
      <c r="G613" s="5" t="str">
        <f>IF(F613="","",ROUNDUP((HLOOKUP("並",単価表!$B$1:$D$2,2,FALSE)*F613)/50,0)*50)</f>
        <v/>
      </c>
    </row>
    <row r="614" spans="7:7">
      <c r="G614" s="5" t="str">
        <f>IF(F614="","",ROUNDUP((HLOOKUP("並",単価表!$B$1:$D$2,2,FALSE)*F614)/50,0)*50)</f>
        <v/>
      </c>
    </row>
    <row r="615" spans="7:7">
      <c r="G615" s="5" t="str">
        <f>IF(F615="","",ROUNDUP((HLOOKUP("並",単価表!$B$1:$D$2,2,FALSE)*F615)/50,0)*50)</f>
        <v/>
      </c>
    </row>
    <row r="616" spans="7:7">
      <c r="G616" s="5" t="str">
        <f>IF(F616="","",ROUNDUP((HLOOKUP("並",単価表!$B$1:$D$2,2,FALSE)*F616)/50,0)*50)</f>
        <v/>
      </c>
    </row>
    <row r="617" spans="7:7">
      <c r="G617" s="5" t="str">
        <f>IF(F617="","",ROUNDUP((HLOOKUP("並",単価表!$B$1:$D$2,2,FALSE)*F617)/50,0)*50)</f>
        <v/>
      </c>
    </row>
    <row r="618" spans="7:7">
      <c r="G618" s="5" t="str">
        <f>IF(F618="","",ROUNDUP((HLOOKUP("並",単価表!$B$1:$D$2,2,FALSE)*F618)/50,0)*50)</f>
        <v/>
      </c>
    </row>
    <row r="619" spans="7:7">
      <c r="G619" s="5" t="str">
        <f>IF(F619="","",ROUNDUP((HLOOKUP("並",単価表!$B$1:$D$2,2,FALSE)*F619)/50,0)*50)</f>
        <v/>
      </c>
    </row>
    <row r="620" spans="7:7">
      <c r="G620" s="5" t="str">
        <f>IF(F620="","",ROUNDUP((HLOOKUP("並",単価表!$B$1:$D$2,2,FALSE)*F620)/50,0)*50)</f>
        <v/>
      </c>
    </row>
    <row r="621" spans="7:7">
      <c r="G621" s="5" t="str">
        <f>IF(F621="","",ROUNDUP((HLOOKUP("並",単価表!$B$1:$D$2,2,FALSE)*F621)/50,0)*50)</f>
        <v/>
      </c>
    </row>
    <row r="622" spans="7:7">
      <c r="G622" s="5" t="str">
        <f>IF(F622="","",ROUNDUP((HLOOKUP("並",単価表!$B$1:$D$2,2,FALSE)*F622)/50,0)*50)</f>
        <v/>
      </c>
    </row>
    <row r="623" spans="7:7">
      <c r="G623" s="5" t="str">
        <f>IF(F623="","",ROUNDUP((HLOOKUP("並",単価表!$B$1:$D$2,2,FALSE)*F623)/50,0)*50)</f>
        <v/>
      </c>
    </row>
    <row r="624" spans="7:7">
      <c r="G624" s="5" t="str">
        <f>IF(F624="","",ROUNDUP((HLOOKUP("並",単価表!$B$1:$D$2,2,FALSE)*F624)/50,0)*50)</f>
        <v/>
      </c>
    </row>
    <row r="625" spans="7:7">
      <c r="G625" s="5" t="str">
        <f>IF(F625="","",ROUNDUP((HLOOKUP("並",単価表!$B$1:$D$2,2,FALSE)*F625)/50,0)*50)</f>
        <v/>
      </c>
    </row>
    <row r="626" spans="7:7">
      <c r="G626" s="5" t="str">
        <f>IF(F626="","",ROUNDUP((HLOOKUP("並",単価表!$B$1:$D$2,2,FALSE)*F626)/50,0)*50)</f>
        <v/>
      </c>
    </row>
    <row r="627" spans="7:7">
      <c r="G627" s="5" t="str">
        <f>IF(F627="","",ROUNDUP((HLOOKUP("並",単価表!$B$1:$D$2,2,FALSE)*F627)/50,0)*50)</f>
        <v/>
      </c>
    </row>
    <row r="628" spans="7:7">
      <c r="G628" s="5" t="str">
        <f>IF(F628="","",ROUNDUP((HLOOKUP("並",単価表!$B$1:$D$2,2,FALSE)*F628)/50,0)*50)</f>
        <v/>
      </c>
    </row>
    <row r="629" spans="7:7">
      <c r="G629" s="5" t="str">
        <f>IF(F629="","",ROUNDUP((HLOOKUP("並",単価表!$B$1:$D$2,2,FALSE)*F629)/50,0)*50)</f>
        <v/>
      </c>
    </row>
    <row r="630" spans="7:7">
      <c r="G630" s="5" t="str">
        <f>IF(F630="","",ROUNDUP((HLOOKUP("並",単価表!$B$1:$D$2,2,FALSE)*F630)/50,0)*50)</f>
        <v/>
      </c>
    </row>
    <row r="631" spans="7:7">
      <c r="G631" s="5" t="str">
        <f>IF(F631="","",ROUNDUP((HLOOKUP("並",単価表!$B$1:$D$2,2,FALSE)*F631)/50,0)*50)</f>
        <v/>
      </c>
    </row>
    <row r="632" spans="7:7">
      <c r="G632" s="5" t="str">
        <f>IF(F632="","",ROUNDUP((HLOOKUP("並",単価表!$B$1:$D$2,2,FALSE)*F632)/50,0)*50)</f>
        <v/>
      </c>
    </row>
    <row r="633" spans="7:7">
      <c r="G633" s="5" t="str">
        <f>IF(F633="","",ROUNDUP((HLOOKUP("並",単価表!$B$1:$D$2,2,FALSE)*F633)/50,0)*50)</f>
        <v/>
      </c>
    </row>
    <row r="634" spans="7:7">
      <c r="G634" s="5" t="str">
        <f>IF(F634="","",ROUNDUP((HLOOKUP("並",単価表!$B$1:$D$2,2,FALSE)*F634)/50,0)*50)</f>
        <v/>
      </c>
    </row>
    <row r="635" spans="7:7">
      <c r="G635" s="5" t="str">
        <f>IF(F635="","",ROUNDUP((HLOOKUP("並",単価表!$B$1:$D$2,2,FALSE)*F635)/50,0)*50)</f>
        <v/>
      </c>
    </row>
    <row r="636" spans="7:7">
      <c r="G636" s="5" t="str">
        <f>IF(F636="","",ROUNDUP((HLOOKUP("並",単価表!$B$1:$D$2,2,FALSE)*F636)/50,0)*50)</f>
        <v/>
      </c>
    </row>
    <row r="637" spans="7:7">
      <c r="G637" s="5" t="str">
        <f>IF(F637="","",ROUNDUP((HLOOKUP("並",単価表!$B$1:$D$2,2,FALSE)*F637)/50,0)*50)</f>
        <v/>
      </c>
    </row>
    <row r="638" spans="7:7">
      <c r="G638" s="5" t="str">
        <f>IF(F638="","",ROUNDUP((HLOOKUP("並",単価表!$B$1:$D$2,2,FALSE)*F638)/50,0)*50)</f>
        <v/>
      </c>
    </row>
    <row r="639" spans="7:7">
      <c r="G639" s="5" t="str">
        <f>IF(F639="","",ROUNDUP((HLOOKUP("並",単価表!$B$1:$D$2,2,FALSE)*F639)/50,0)*50)</f>
        <v/>
      </c>
    </row>
    <row r="640" spans="7:7">
      <c r="G640" s="5" t="str">
        <f>IF(F640="","",ROUNDUP((HLOOKUP("並",単価表!$B$1:$D$2,2,FALSE)*F640)/50,0)*50)</f>
        <v/>
      </c>
    </row>
    <row r="641" spans="7:7">
      <c r="G641" s="5" t="str">
        <f>IF(F641="","",ROUNDUP((HLOOKUP("並",単価表!$B$1:$D$2,2,FALSE)*F641)/50,0)*50)</f>
        <v/>
      </c>
    </row>
    <row r="642" spans="7:7">
      <c r="G642" s="5" t="str">
        <f>IF(F642="","",ROUNDUP((HLOOKUP("並",単価表!$B$1:$D$2,2,FALSE)*F642)/50,0)*50)</f>
        <v/>
      </c>
    </row>
    <row r="643" spans="7:7">
      <c r="G643" s="5" t="str">
        <f>IF(F643="","",ROUNDUP((HLOOKUP("並",単価表!$B$1:$D$2,2,FALSE)*F643)/50,0)*50)</f>
        <v/>
      </c>
    </row>
    <row r="644" spans="7:7">
      <c r="G644" s="5" t="str">
        <f>IF(F644="","",ROUNDUP((HLOOKUP("並",単価表!$B$1:$D$2,2,FALSE)*F644)/50,0)*50)</f>
        <v/>
      </c>
    </row>
    <row r="645" spans="7:7">
      <c r="G645" s="5" t="str">
        <f>IF(F645="","",ROUNDUP((HLOOKUP("並",単価表!$B$1:$D$2,2,FALSE)*F645)/50,0)*50)</f>
        <v/>
      </c>
    </row>
    <row r="646" spans="7:7">
      <c r="G646" s="5" t="str">
        <f>IF(F646="","",ROUNDUP((HLOOKUP("並",単価表!$B$1:$D$2,2,FALSE)*F646)/50,0)*50)</f>
        <v/>
      </c>
    </row>
    <row r="647" spans="7:7">
      <c r="G647" s="5" t="str">
        <f>IF(F647="","",ROUNDUP((HLOOKUP("並",単価表!$B$1:$D$2,2,FALSE)*F647)/50,0)*50)</f>
        <v/>
      </c>
    </row>
    <row r="648" spans="7:7">
      <c r="G648" s="5" t="str">
        <f>IF(F648="","",ROUNDUP((HLOOKUP("並",単価表!$B$1:$D$2,2,FALSE)*F648)/50,0)*50)</f>
        <v/>
      </c>
    </row>
    <row r="649" spans="7:7">
      <c r="G649" s="5" t="str">
        <f>IF(F649="","",ROUNDUP((HLOOKUP("並",単価表!$B$1:$D$2,2,FALSE)*F649)/50,0)*50)</f>
        <v/>
      </c>
    </row>
    <row r="650" spans="7:7">
      <c r="G650" s="5" t="str">
        <f>IF(F650="","",ROUNDUP((HLOOKUP("並",単価表!$B$1:$D$2,2,FALSE)*F650)/50,0)*50)</f>
        <v/>
      </c>
    </row>
    <row r="651" spans="7:7">
      <c r="G651" s="5" t="str">
        <f>IF(F651="","",ROUNDUP((HLOOKUP("並",単価表!$B$1:$D$2,2,FALSE)*F651)/50,0)*50)</f>
        <v/>
      </c>
    </row>
    <row r="652" spans="7:7">
      <c r="G652" s="5" t="str">
        <f>IF(F652="","",ROUNDUP((HLOOKUP("並",単価表!$B$1:$D$2,2,FALSE)*F652)/50,0)*50)</f>
        <v/>
      </c>
    </row>
    <row r="653" spans="7:7">
      <c r="G653" s="5" t="str">
        <f>IF(F653="","",ROUNDUP((HLOOKUP("並",単価表!$B$1:$D$2,2,FALSE)*F653)/50,0)*50)</f>
        <v/>
      </c>
    </row>
    <row r="654" spans="7:7">
      <c r="G654" s="5" t="str">
        <f>IF(F654="","",ROUNDUP((HLOOKUP("並",単価表!$B$1:$D$2,2,FALSE)*F654)/50,0)*50)</f>
        <v/>
      </c>
    </row>
    <row r="655" spans="7:7">
      <c r="G655" s="5" t="str">
        <f>IF(F655="","",ROUNDUP((HLOOKUP("並",単価表!$B$1:$D$2,2,FALSE)*F655)/50,0)*50)</f>
        <v/>
      </c>
    </row>
    <row r="656" spans="7:7">
      <c r="G656" s="5" t="str">
        <f>IF(F656="","",ROUNDUP((HLOOKUP("並",単価表!$B$1:$D$2,2,FALSE)*F656)/50,0)*50)</f>
        <v/>
      </c>
    </row>
    <row r="657" spans="7:7">
      <c r="G657" s="5" t="str">
        <f>IF(F657="","",ROUNDUP((HLOOKUP("並",単価表!$B$1:$D$2,2,FALSE)*F657)/50,0)*50)</f>
        <v/>
      </c>
    </row>
    <row r="658" spans="7:7">
      <c r="G658" s="5" t="str">
        <f>IF(F658="","",ROUNDUP((HLOOKUP("並",単価表!$B$1:$D$2,2,FALSE)*F658)/50,0)*50)</f>
        <v/>
      </c>
    </row>
    <row r="659" spans="7:7">
      <c r="G659" s="5" t="str">
        <f>IF(F659="","",ROUNDUP((HLOOKUP("並",単価表!$B$1:$D$2,2,FALSE)*F659)/50,0)*50)</f>
        <v/>
      </c>
    </row>
    <row r="660" spans="7:7">
      <c r="G660" s="5" t="str">
        <f>IF(F660="","",ROUNDUP((HLOOKUP("並",単価表!$B$1:$D$2,2,FALSE)*F660)/50,0)*50)</f>
        <v/>
      </c>
    </row>
    <row r="661" spans="7:7">
      <c r="G661" s="5" t="str">
        <f>IF(F661="","",ROUNDUP((HLOOKUP("並",単価表!$B$1:$D$2,2,FALSE)*F661)/50,0)*50)</f>
        <v/>
      </c>
    </row>
    <row r="662" spans="7:7">
      <c r="G662" s="5" t="str">
        <f>IF(F662="","",ROUNDUP((HLOOKUP("並",単価表!$B$1:$D$2,2,FALSE)*F662)/50,0)*50)</f>
        <v/>
      </c>
    </row>
    <row r="663" spans="7:7">
      <c r="G663" s="5" t="str">
        <f>IF(F663="","",ROUNDUP((HLOOKUP("並",単価表!$B$1:$D$2,2,FALSE)*F663)/50,0)*50)</f>
        <v/>
      </c>
    </row>
    <row r="664" spans="7:7">
      <c r="G664" s="5" t="str">
        <f>IF(F664="","",ROUNDUP((HLOOKUP("並",単価表!$B$1:$D$2,2,FALSE)*F664)/50,0)*50)</f>
        <v/>
      </c>
    </row>
    <row r="665" spans="7:7">
      <c r="G665" s="5" t="str">
        <f>IF(F665="","",ROUNDUP((HLOOKUP("並",単価表!$B$1:$D$2,2,FALSE)*F665)/50,0)*50)</f>
        <v/>
      </c>
    </row>
    <row r="666" spans="7:7">
      <c r="G666" s="5" t="str">
        <f>IF(F666="","",ROUNDUP((HLOOKUP("並",単価表!$B$1:$D$2,2,FALSE)*F666)/50,0)*50)</f>
        <v/>
      </c>
    </row>
    <row r="667" spans="7:7">
      <c r="G667" s="5" t="str">
        <f>IF(F667="","",ROUNDUP((HLOOKUP("並",単価表!$B$1:$D$2,2,FALSE)*F667)/50,0)*50)</f>
        <v/>
      </c>
    </row>
    <row r="668" spans="7:7">
      <c r="G668" s="5" t="str">
        <f>IF(F668="","",ROUNDUP((HLOOKUP("並",単価表!$B$1:$D$2,2,FALSE)*F668)/50,0)*50)</f>
        <v/>
      </c>
    </row>
    <row r="669" spans="7:7">
      <c r="G669" s="5" t="str">
        <f>IF(F669="","",ROUNDUP((HLOOKUP("並",単価表!$B$1:$D$2,2,FALSE)*F669)/50,0)*50)</f>
        <v/>
      </c>
    </row>
    <row r="670" spans="7:7">
      <c r="G670" s="5" t="str">
        <f>IF(F670="","",ROUNDUP((HLOOKUP("並",単価表!$B$1:$D$2,2,FALSE)*F670)/50,0)*50)</f>
        <v/>
      </c>
    </row>
    <row r="671" spans="7:7">
      <c r="G671" s="5" t="str">
        <f>IF(F671="","",ROUNDUP((HLOOKUP("並",単価表!$B$1:$D$2,2,FALSE)*F671)/50,0)*50)</f>
        <v/>
      </c>
    </row>
    <row r="672" spans="7:7">
      <c r="G672" s="5" t="str">
        <f>IF(F672="","",ROUNDUP((HLOOKUP("並",単価表!$B$1:$D$2,2,FALSE)*F672)/50,0)*50)</f>
        <v/>
      </c>
    </row>
    <row r="673" spans="7:7">
      <c r="G673" s="5" t="str">
        <f>IF(F673="","",ROUNDUP((HLOOKUP("並",単価表!$B$1:$D$2,2,FALSE)*F673)/50,0)*50)</f>
        <v/>
      </c>
    </row>
    <row r="674" spans="7:7">
      <c r="G674" s="5" t="str">
        <f>IF(F674="","",ROUNDUP((HLOOKUP("並",単価表!$B$1:$D$2,2,FALSE)*F674)/50,0)*50)</f>
        <v/>
      </c>
    </row>
    <row r="675" spans="7:7">
      <c r="G675" s="5" t="str">
        <f>IF(F675="","",ROUNDUP((HLOOKUP("並",単価表!$B$1:$D$2,2,FALSE)*F675)/50,0)*50)</f>
        <v/>
      </c>
    </row>
    <row r="676" spans="7:7">
      <c r="G676" s="5" t="str">
        <f>IF(F676="","",ROUNDUP((HLOOKUP("並",単価表!$B$1:$D$2,2,FALSE)*F676)/50,0)*50)</f>
        <v/>
      </c>
    </row>
    <row r="677" spans="7:7">
      <c r="G677" s="5" t="str">
        <f>IF(F677="","",ROUNDUP((HLOOKUP("並",単価表!$B$1:$D$2,2,FALSE)*F677)/50,0)*50)</f>
        <v/>
      </c>
    </row>
    <row r="678" spans="7:7">
      <c r="G678" s="5" t="str">
        <f>IF(F678="","",ROUNDUP((HLOOKUP("並",単価表!$B$1:$D$2,2,FALSE)*F678)/50,0)*50)</f>
        <v/>
      </c>
    </row>
    <row r="679" spans="7:7">
      <c r="G679" s="5" t="str">
        <f>IF(F679="","",ROUNDUP((HLOOKUP("並",単価表!$B$1:$D$2,2,FALSE)*F679)/50,0)*50)</f>
        <v/>
      </c>
    </row>
    <row r="680" spans="7:7">
      <c r="G680" s="5" t="str">
        <f>IF(F680="","",ROUNDUP((HLOOKUP("並",単価表!$B$1:$D$2,2,FALSE)*F680)/50,0)*50)</f>
        <v/>
      </c>
    </row>
    <row r="681" spans="7:7">
      <c r="G681" s="5" t="str">
        <f>IF(F681="","",ROUNDUP((HLOOKUP("並",単価表!$B$1:$D$2,2,FALSE)*F681)/50,0)*50)</f>
        <v/>
      </c>
    </row>
    <row r="682" spans="7:7">
      <c r="G682" s="5" t="str">
        <f>IF(F682="","",ROUNDUP((HLOOKUP("並",単価表!$B$1:$D$2,2,FALSE)*F682)/50,0)*50)</f>
        <v/>
      </c>
    </row>
    <row r="683" spans="7:7">
      <c r="G683" s="5" t="str">
        <f>IF(F683="","",ROUNDUP((HLOOKUP("並",単価表!$B$1:$D$2,2,FALSE)*F683)/50,0)*50)</f>
        <v/>
      </c>
    </row>
    <row r="684" spans="7:7">
      <c r="G684" s="5" t="str">
        <f>IF(F684="","",ROUNDUP((HLOOKUP("並",単価表!$B$1:$D$2,2,FALSE)*F684)/50,0)*50)</f>
        <v/>
      </c>
    </row>
    <row r="685" spans="7:7">
      <c r="G685" s="5" t="str">
        <f>IF(F685="","",ROUNDUP((HLOOKUP("並",単価表!$B$1:$D$2,2,FALSE)*F685)/50,0)*50)</f>
        <v/>
      </c>
    </row>
    <row r="686" spans="7:7">
      <c r="G686" s="5" t="str">
        <f>IF(F686="","",ROUNDUP((HLOOKUP("並",単価表!$B$1:$D$2,2,FALSE)*F686)/50,0)*50)</f>
        <v/>
      </c>
    </row>
    <row r="687" spans="7:7">
      <c r="G687" s="5" t="str">
        <f>IF(F687="","",ROUNDUP((HLOOKUP("並",単価表!$B$1:$D$2,2,FALSE)*F687)/50,0)*50)</f>
        <v/>
      </c>
    </row>
    <row r="688" spans="7:7">
      <c r="G688" s="5" t="str">
        <f>IF(F688="","",ROUNDUP((HLOOKUP("並",単価表!$B$1:$D$2,2,FALSE)*F688)/50,0)*50)</f>
        <v/>
      </c>
    </row>
    <row r="689" spans="7:7">
      <c r="G689" s="5" t="str">
        <f>IF(F689="","",ROUNDUP((HLOOKUP("並",単価表!$B$1:$D$2,2,FALSE)*F689)/50,0)*50)</f>
        <v/>
      </c>
    </row>
    <row r="690" spans="7:7">
      <c r="G690" s="5" t="str">
        <f>IF(F690="","",ROUNDUP((HLOOKUP("並",単価表!$B$1:$D$2,2,FALSE)*F690)/50,0)*50)</f>
        <v/>
      </c>
    </row>
    <row r="691" spans="7:7">
      <c r="G691" s="5" t="str">
        <f>IF(F691="","",ROUNDUP((HLOOKUP("並",単価表!$B$1:$D$2,2,FALSE)*F691)/50,0)*50)</f>
        <v/>
      </c>
    </row>
    <row r="692" spans="7:7">
      <c r="G692" s="5" t="str">
        <f>IF(F692="","",ROUNDUP((HLOOKUP("並",単価表!$B$1:$D$2,2,FALSE)*F692)/50,0)*50)</f>
        <v/>
      </c>
    </row>
    <row r="693" spans="7:7">
      <c r="G693" s="5" t="str">
        <f>IF(F693="","",ROUNDUP((HLOOKUP("並",単価表!$B$1:$D$2,2,FALSE)*F693)/50,0)*50)</f>
        <v/>
      </c>
    </row>
    <row r="694" spans="7:7">
      <c r="G694" s="5" t="str">
        <f>IF(F694="","",ROUNDUP((HLOOKUP("並",単価表!$B$1:$D$2,2,FALSE)*F694)/50,0)*50)</f>
        <v/>
      </c>
    </row>
    <row r="695" spans="7:7">
      <c r="G695" s="5" t="str">
        <f>IF(F695="","",ROUNDUP((HLOOKUP("並",単価表!$B$1:$D$2,2,FALSE)*F695)/50,0)*50)</f>
        <v/>
      </c>
    </row>
    <row r="696" spans="7:7">
      <c r="G696" s="5" t="str">
        <f>IF(F696="","",ROUNDUP((HLOOKUP("並",単価表!$B$1:$D$2,2,FALSE)*F696)/50,0)*50)</f>
        <v/>
      </c>
    </row>
    <row r="697" spans="7:7">
      <c r="G697" s="5" t="str">
        <f>IF(F697="","",ROUNDUP((HLOOKUP("並",単価表!$B$1:$D$2,2,FALSE)*F697)/50,0)*50)</f>
        <v/>
      </c>
    </row>
    <row r="698" spans="7:7">
      <c r="G698" s="5" t="str">
        <f>IF(F698="","",ROUNDUP((HLOOKUP("並",単価表!$B$1:$D$2,2,FALSE)*F698)/50,0)*50)</f>
        <v/>
      </c>
    </row>
    <row r="699" spans="7:7">
      <c r="G699" s="5" t="str">
        <f>IF(F699="","",ROUNDUP((HLOOKUP("並",単価表!$B$1:$D$2,2,FALSE)*F699)/50,0)*50)</f>
        <v/>
      </c>
    </row>
    <row r="700" spans="7:7">
      <c r="G700" s="5" t="str">
        <f>IF(F700="","",ROUNDUP((HLOOKUP("並",単価表!$B$1:$D$2,2,FALSE)*F700)/50,0)*50)</f>
        <v/>
      </c>
    </row>
    <row r="701" spans="7:7">
      <c r="G701" s="5" t="str">
        <f>IF(F701="","",ROUNDUP((HLOOKUP("並",単価表!$B$1:$D$2,2,FALSE)*F701)/50,0)*50)</f>
        <v/>
      </c>
    </row>
    <row r="702" spans="7:7">
      <c r="G702" s="5" t="str">
        <f>IF(F702="","",ROUNDUP((HLOOKUP("並",単価表!$B$1:$D$2,2,FALSE)*F702)/50,0)*50)</f>
        <v/>
      </c>
    </row>
    <row r="703" spans="7:7">
      <c r="G703" s="5" t="str">
        <f>IF(F703="","",ROUNDUP((HLOOKUP("並",単価表!$B$1:$D$2,2,FALSE)*F703)/50,0)*50)</f>
        <v/>
      </c>
    </row>
    <row r="704" spans="7:7">
      <c r="G704" s="5" t="str">
        <f>IF(F704="","",ROUNDUP((HLOOKUP("並",単価表!$B$1:$D$2,2,FALSE)*F704)/50,0)*50)</f>
        <v/>
      </c>
    </row>
    <row r="705" spans="7:7">
      <c r="G705" s="5" t="str">
        <f>IF(F705="","",ROUNDUP((HLOOKUP("並",単価表!$B$1:$D$2,2,FALSE)*F705)/50,0)*50)</f>
        <v/>
      </c>
    </row>
    <row r="706" spans="7:7">
      <c r="G706" s="5" t="str">
        <f>IF(F706="","",ROUNDUP((HLOOKUP("並",単価表!$B$1:$D$2,2,FALSE)*F706)/50,0)*50)</f>
        <v/>
      </c>
    </row>
    <row r="707" spans="7:7">
      <c r="G707" s="5" t="str">
        <f>IF(F707="","",ROUNDUP((HLOOKUP("並",単価表!$B$1:$D$2,2,FALSE)*F707)/50,0)*50)</f>
        <v/>
      </c>
    </row>
    <row r="708" spans="7:7">
      <c r="G708" s="5" t="str">
        <f>IF(F708="","",ROUNDUP((HLOOKUP("並",単価表!$B$1:$D$2,2,FALSE)*F708)/50,0)*50)</f>
        <v/>
      </c>
    </row>
    <row r="709" spans="7:7">
      <c r="G709" s="5" t="str">
        <f>IF(F709="","",ROUNDUP((HLOOKUP("並",単価表!$B$1:$D$2,2,FALSE)*F709)/50,0)*50)</f>
        <v/>
      </c>
    </row>
    <row r="710" spans="7:7">
      <c r="G710" s="5" t="str">
        <f>IF(F710="","",ROUNDUP((HLOOKUP("並",単価表!$B$1:$D$2,2,FALSE)*F710)/50,0)*50)</f>
        <v/>
      </c>
    </row>
    <row r="711" spans="7:7">
      <c r="G711" s="5" t="str">
        <f>IF(F711="","",ROUNDUP((HLOOKUP("並",単価表!$B$1:$D$2,2,FALSE)*F711)/50,0)*50)</f>
        <v/>
      </c>
    </row>
    <row r="712" spans="7:7">
      <c r="G712" s="5" t="str">
        <f>IF(F712="","",ROUNDUP((HLOOKUP("並",単価表!$B$1:$D$2,2,FALSE)*F712)/50,0)*50)</f>
        <v/>
      </c>
    </row>
    <row r="713" spans="7:7">
      <c r="G713" s="5" t="str">
        <f>IF(F713="","",ROUNDUP((HLOOKUP("並",単価表!$B$1:$D$2,2,FALSE)*F713)/50,0)*50)</f>
        <v/>
      </c>
    </row>
    <row r="714" spans="7:7">
      <c r="G714" s="5" t="str">
        <f>IF(F714="","",ROUNDUP((HLOOKUP("並",単価表!$B$1:$D$2,2,FALSE)*F714)/50,0)*50)</f>
        <v/>
      </c>
    </row>
    <row r="715" spans="7:7">
      <c r="G715" s="5" t="str">
        <f>IF(F715="","",ROUNDUP((HLOOKUP("並",単価表!$B$1:$D$2,2,FALSE)*F715)/50,0)*50)</f>
        <v/>
      </c>
    </row>
    <row r="716" spans="7:7">
      <c r="G716" s="5" t="str">
        <f>IF(F716="","",ROUNDUP((HLOOKUP("並",単価表!$B$1:$D$2,2,FALSE)*F716)/50,0)*50)</f>
        <v/>
      </c>
    </row>
    <row r="717" spans="7:7">
      <c r="G717" s="5" t="str">
        <f>IF(F717="","",ROUNDUP((HLOOKUP("並",単価表!$B$1:$D$2,2,FALSE)*F717)/50,0)*50)</f>
        <v/>
      </c>
    </row>
    <row r="718" spans="7:7">
      <c r="G718" s="5" t="str">
        <f>IF(F718="","",ROUNDUP((HLOOKUP("並",単価表!$B$1:$D$2,2,FALSE)*F718)/50,0)*50)</f>
        <v/>
      </c>
    </row>
    <row r="719" spans="7:7">
      <c r="G719" s="5" t="str">
        <f>IF(F719="","",ROUNDUP((HLOOKUP("並",単価表!$B$1:$D$2,2,FALSE)*F719)/50,0)*50)</f>
        <v/>
      </c>
    </row>
    <row r="720" spans="7:7">
      <c r="G720" s="5" t="str">
        <f>IF(F720="","",ROUNDUP((HLOOKUP("並",単価表!$B$1:$D$2,2,FALSE)*F720)/50,0)*50)</f>
        <v/>
      </c>
    </row>
    <row r="721" spans="7:7">
      <c r="G721" s="5" t="str">
        <f>IF(F721="","",ROUNDUP((HLOOKUP("並",単価表!$B$1:$D$2,2,FALSE)*F721)/50,0)*50)</f>
        <v/>
      </c>
    </row>
    <row r="722" spans="7:7">
      <c r="G722" s="5" t="str">
        <f>IF(F722="","",ROUNDUP((HLOOKUP("並",単価表!$B$1:$D$2,2,FALSE)*F722)/50,0)*50)</f>
        <v/>
      </c>
    </row>
    <row r="723" spans="7:7">
      <c r="G723" s="5" t="str">
        <f>IF(F723="","",ROUNDUP((HLOOKUP("並",単価表!$B$1:$D$2,2,FALSE)*F723)/50,0)*50)</f>
        <v/>
      </c>
    </row>
    <row r="724" spans="7:7">
      <c r="G724" s="5" t="str">
        <f>IF(F724="","",ROUNDUP((HLOOKUP("並",単価表!$B$1:$D$2,2,FALSE)*F724)/50,0)*50)</f>
        <v/>
      </c>
    </row>
    <row r="725" spans="7:7">
      <c r="G725" s="5" t="str">
        <f>IF(F725="","",ROUNDUP((HLOOKUP("並",単価表!$B$1:$D$2,2,FALSE)*F725)/50,0)*50)</f>
        <v/>
      </c>
    </row>
    <row r="726" spans="7:7">
      <c r="G726" s="5" t="str">
        <f>IF(F726="","",ROUNDUP((HLOOKUP("並",単価表!$B$1:$D$2,2,FALSE)*F726)/50,0)*50)</f>
        <v/>
      </c>
    </row>
    <row r="727" spans="7:7">
      <c r="G727" s="5" t="str">
        <f>IF(F727="","",ROUNDUP((HLOOKUP("並",単価表!$B$1:$D$2,2,FALSE)*F727)/50,0)*50)</f>
        <v/>
      </c>
    </row>
    <row r="728" spans="7:7">
      <c r="G728" s="5" t="str">
        <f>IF(F728="","",ROUNDUP((HLOOKUP("並",単価表!$B$1:$D$2,2,FALSE)*F728)/50,0)*50)</f>
        <v/>
      </c>
    </row>
    <row r="729" spans="7:7">
      <c r="G729" s="5" t="str">
        <f>IF(F729="","",ROUNDUP((HLOOKUP("並",単価表!$B$1:$D$2,2,FALSE)*F729)/50,0)*50)</f>
        <v/>
      </c>
    </row>
    <row r="730" spans="7:7">
      <c r="G730" s="5" t="str">
        <f>IF(F730="","",ROUNDUP((HLOOKUP("並",単価表!$B$1:$D$2,2,FALSE)*F730)/50,0)*50)</f>
        <v/>
      </c>
    </row>
    <row r="731" spans="7:7">
      <c r="G731" s="5" t="str">
        <f>IF(F731="","",ROUNDUP((HLOOKUP("並",単価表!$B$1:$D$2,2,FALSE)*F731)/50,0)*50)</f>
        <v/>
      </c>
    </row>
    <row r="732" spans="7:7">
      <c r="G732" s="5" t="str">
        <f>IF(F732="","",ROUNDUP((HLOOKUP("並",単価表!$B$1:$D$2,2,FALSE)*F732)/50,0)*50)</f>
        <v/>
      </c>
    </row>
    <row r="733" spans="7:7">
      <c r="G733" s="5" t="str">
        <f>IF(F733="","",ROUNDUP((HLOOKUP("並",単価表!$B$1:$D$2,2,FALSE)*F733)/50,0)*50)</f>
        <v/>
      </c>
    </row>
    <row r="734" spans="7:7">
      <c r="G734" s="5" t="str">
        <f>IF(F734="","",ROUNDUP((HLOOKUP("並",単価表!$B$1:$D$2,2,FALSE)*F734)/50,0)*50)</f>
        <v/>
      </c>
    </row>
    <row r="735" spans="7:7">
      <c r="G735" s="5" t="str">
        <f>IF(F735="","",ROUNDUP((HLOOKUP("並",単価表!$B$1:$D$2,2,FALSE)*F735)/50,0)*50)</f>
        <v/>
      </c>
    </row>
    <row r="736" spans="7:7">
      <c r="G736" s="5" t="str">
        <f>IF(F736="","",ROUNDUP((HLOOKUP("並",単価表!$B$1:$D$2,2,FALSE)*F736)/50,0)*50)</f>
        <v/>
      </c>
    </row>
    <row r="737" spans="7:7">
      <c r="G737" s="5" t="str">
        <f>IF(F737="","",ROUNDUP((HLOOKUP("並",単価表!$B$1:$D$2,2,FALSE)*F737)/50,0)*50)</f>
        <v/>
      </c>
    </row>
    <row r="738" spans="7:7">
      <c r="G738" s="5" t="str">
        <f>IF(F738="","",ROUNDUP((HLOOKUP("並",単価表!$B$1:$D$2,2,FALSE)*F738)/50,0)*50)</f>
        <v/>
      </c>
    </row>
    <row r="739" spans="7:7">
      <c r="G739" s="5" t="str">
        <f>IF(F739="","",ROUNDUP((HLOOKUP("並",単価表!$B$1:$D$2,2,FALSE)*F739)/50,0)*50)</f>
        <v/>
      </c>
    </row>
    <row r="740" spans="7:7">
      <c r="G740" s="5" t="str">
        <f>IF(F740="","",ROUNDUP((HLOOKUP("並",単価表!$B$1:$D$2,2,FALSE)*F740)/50,0)*50)</f>
        <v/>
      </c>
    </row>
    <row r="741" spans="7:7">
      <c r="G741" s="5" t="str">
        <f>IF(F741="","",ROUNDUP((HLOOKUP("並",単価表!$B$1:$D$2,2,FALSE)*F741)/50,0)*50)</f>
        <v/>
      </c>
    </row>
    <row r="742" spans="7:7">
      <c r="G742" s="5" t="str">
        <f>IF(F742="","",ROUNDUP((HLOOKUP("並",単価表!$B$1:$D$2,2,FALSE)*F742)/50,0)*50)</f>
        <v/>
      </c>
    </row>
    <row r="743" spans="7:7">
      <c r="G743" s="5" t="str">
        <f>IF(F743="","",ROUNDUP((HLOOKUP("並",単価表!$B$1:$D$2,2,FALSE)*F743)/50,0)*50)</f>
        <v/>
      </c>
    </row>
    <row r="744" spans="7:7">
      <c r="G744" s="5" t="str">
        <f>IF(F744="","",ROUNDUP((HLOOKUP("並",単価表!$B$1:$D$2,2,FALSE)*F744)/50,0)*50)</f>
        <v/>
      </c>
    </row>
    <row r="745" spans="7:7">
      <c r="G745" s="5" t="str">
        <f>IF(F745="","",ROUNDUP((HLOOKUP("並",単価表!$B$1:$D$2,2,FALSE)*F745)/50,0)*50)</f>
        <v/>
      </c>
    </row>
    <row r="746" spans="7:7">
      <c r="G746" s="5" t="str">
        <f>IF(F746="","",ROUNDUP((HLOOKUP("並",単価表!$B$1:$D$2,2,FALSE)*F746)/50,0)*50)</f>
        <v/>
      </c>
    </row>
    <row r="747" spans="7:7">
      <c r="G747" s="5" t="str">
        <f>IF(F747="","",ROUNDUP((HLOOKUP("並",単価表!$B$1:$D$2,2,FALSE)*F747)/50,0)*50)</f>
        <v/>
      </c>
    </row>
    <row r="748" spans="7:7">
      <c r="G748" s="5" t="str">
        <f>IF(F748="","",ROUNDUP((HLOOKUP("並",単価表!$B$1:$D$2,2,FALSE)*F748)/50,0)*50)</f>
        <v/>
      </c>
    </row>
    <row r="749" spans="7:7">
      <c r="G749" s="5" t="str">
        <f>IF(F749="","",ROUNDUP((HLOOKUP("並",単価表!$B$1:$D$2,2,FALSE)*F749)/50,0)*50)</f>
        <v/>
      </c>
    </row>
    <row r="750" spans="7:7">
      <c r="G750" s="5" t="str">
        <f>IF(F750="","",ROUNDUP((HLOOKUP("並",単価表!$B$1:$D$2,2,FALSE)*F750)/50,0)*50)</f>
        <v/>
      </c>
    </row>
    <row r="751" spans="7:7">
      <c r="G751" s="5" t="str">
        <f>IF(F751="","",ROUNDUP((HLOOKUP("並",単価表!$B$1:$D$2,2,FALSE)*F751)/50,0)*50)</f>
        <v/>
      </c>
    </row>
    <row r="752" spans="7:7">
      <c r="G752" s="5" t="str">
        <f>IF(F752="","",ROUNDUP((HLOOKUP("並",単価表!$B$1:$D$2,2,FALSE)*F752)/50,0)*50)</f>
        <v/>
      </c>
    </row>
    <row r="753" spans="7:7">
      <c r="G753" s="5" t="str">
        <f>IF(F753="","",ROUNDUP((HLOOKUP("並",単価表!$B$1:$D$2,2,FALSE)*F753)/50,0)*50)</f>
        <v/>
      </c>
    </row>
    <row r="754" spans="7:7">
      <c r="G754" s="5" t="str">
        <f>IF(F754="","",ROUNDUP((HLOOKUP("並",単価表!$B$1:$D$2,2,FALSE)*F754)/50,0)*50)</f>
        <v/>
      </c>
    </row>
    <row r="755" spans="7:7">
      <c r="G755" s="5" t="str">
        <f>IF(F755="","",ROUNDUP((HLOOKUP("並",単価表!$B$1:$D$2,2,FALSE)*F755)/50,0)*50)</f>
        <v/>
      </c>
    </row>
    <row r="756" spans="7:7">
      <c r="G756" s="5" t="str">
        <f>IF(F756="","",ROUNDUP((HLOOKUP("並",単価表!$B$1:$D$2,2,FALSE)*F756)/50,0)*50)</f>
        <v/>
      </c>
    </row>
    <row r="757" spans="7:7">
      <c r="G757" s="5" t="str">
        <f>IF(F757="","",ROUNDUP((HLOOKUP("並",単価表!$B$1:$D$2,2,FALSE)*F757)/50,0)*50)</f>
        <v/>
      </c>
    </row>
    <row r="758" spans="7:7">
      <c r="G758" s="5" t="str">
        <f>IF(F758="","",ROUNDUP((HLOOKUP("並",単価表!$B$1:$D$2,2,FALSE)*F758)/50,0)*50)</f>
        <v/>
      </c>
    </row>
    <row r="759" spans="7:7">
      <c r="G759" s="5" t="str">
        <f>IF(F759="","",ROUNDUP((HLOOKUP("並",単価表!$B$1:$D$2,2,FALSE)*F759)/50,0)*50)</f>
        <v/>
      </c>
    </row>
    <row r="760" spans="7:7">
      <c r="G760" s="5" t="str">
        <f>IF(F760="","",ROUNDUP((HLOOKUP("並",単価表!$B$1:$D$2,2,FALSE)*F760)/50,0)*50)</f>
        <v/>
      </c>
    </row>
    <row r="761" spans="7:7">
      <c r="G761" s="5" t="str">
        <f>IF(F761="","",ROUNDUP((HLOOKUP("並",単価表!$B$1:$D$2,2,FALSE)*F761)/50,0)*50)</f>
        <v/>
      </c>
    </row>
    <row r="762" spans="7:7">
      <c r="G762" s="5" t="str">
        <f>IF(F762="","",ROUNDUP((HLOOKUP("並",単価表!$B$1:$D$2,2,FALSE)*F762)/50,0)*50)</f>
        <v/>
      </c>
    </row>
    <row r="763" spans="7:7">
      <c r="G763" s="5" t="str">
        <f>IF(F763="","",ROUNDUP((HLOOKUP("並",単価表!$B$1:$D$2,2,FALSE)*F763)/50,0)*50)</f>
        <v/>
      </c>
    </row>
    <row r="764" spans="7:7">
      <c r="G764" s="5" t="str">
        <f>IF(F764="","",ROUNDUP((HLOOKUP("並",単価表!$B$1:$D$2,2,FALSE)*F764)/50,0)*50)</f>
        <v/>
      </c>
    </row>
    <row r="765" spans="7:7">
      <c r="G765" s="5" t="str">
        <f>IF(F765="","",ROUNDUP((HLOOKUP("並",単価表!$B$1:$D$2,2,FALSE)*F765)/50,0)*50)</f>
        <v/>
      </c>
    </row>
    <row r="766" spans="7:7">
      <c r="G766" s="5" t="str">
        <f>IF(F766="","",ROUNDUP((HLOOKUP("並",単価表!$B$1:$D$2,2,FALSE)*F766)/50,0)*50)</f>
        <v/>
      </c>
    </row>
    <row r="767" spans="7:7">
      <c r="G767" s="5" t="str">
        <f>IF(F767="","",ROUNDUP((HLOOKUP("並",単価表!$B$1:$D$2,2,FALSE)*F767)/50,0)*50)</f>
        <v/>
      </c>
    </row>
    <row r="768" spans="7:7">
      <c r="G768" s="5" t="str">
        <f>IF(F768="","",ROUNDUP((HLOOKUP("並",単価表!$B$1:$D$2,2,FALSE)*F768)/50,0)*50)</f>
        <v/>
      </c>
    </row>
    <row r="769" spans="7:7">
      <c r="G769" s="5" t="str">
        <f>IF(F769="","",ROUNDUP((HLOOKUP("並",単価表!$B$1:$D$2,2,FALSE)*F769)/50,0)*50)</f>
        <v/>
      </c>
    </row>
    <row r="770" spans="7:7">
      <c r="G770" s="5" t="str">
        <f>IF(F770="","",ROUNDUP((HLOOKUP("並",単価表!$B$1:$D$2,2,FALSE)*F770)/50,0)*50)</f>
        <v/>
      </c>
    </row>
    <row r="771" spans="7:7">
      <c r="G771" s="5" t="str">
        <f>IF(F771="","",ROUNDUP((HLOOKUP("並",単価表!$B$1:$D$2,2,FALSE)*F771)/50,0)*50)</f>
        <v/>
      </c>
    </row>
    <row r="772" spans="7:7">
      <c r="G772" s="5" t="str">
        <f>IF(F772="","",ROUNDUP((HLOOKUP("並",単価表!$B$1:$D$2,2,FALSE)*F772)/50,0)*50)</f>
        <v/>
      </c>
    </row>
    <row r="773" spans="7:7">
      <c r="G773" s="5" t="str">
        <f>IF(F773="","",ROUNDUP((HLOOKUP("並",単価表!$B$1:$D$2,2,FALSE)*F773)/50,0)*50)</f>
        <v/>
      </c>
    </row>
    <row r="774" spans="7:7">
      <c r="G774" s="5" t="str">
        <f>IF(F774="","",ROUNDUP((HLOOKUP("並",単価表!$B$1:$D$2,2,FALSE)*F774)/50,0)*50)</f>
        <v/>
      </c>
    </row>
    <row r="775" spans="7:7">
      <c r="G775" s="5" t="str">
        <f>IF(F775="","",ROUNDUP((HLOOKUP("並",単価表!$B$1:$D$2,2,FALSE)*F775)/50,0)*50)</f>
        <v/>
      </c>
    </row>
    <row r="776" spans="7:7">
      <c r="G776" s="5" t="str">
        <f>IF(F776="","",ROUNDUP((HLOOKUP("並",単価表!$B$1:$D$2,2,FALSE)*F776)/50,0)*50)</f>
        <v/>
      </c>
    </row>
    <row r="777" spans="7:7">
      <c r="G777" s="5" t="str">
        <f>IF(F777="","",ROUNDUP((HLOOKUP("並",単価表!$B$1:$D$2,2,FALSE)*F777)/50,0)*50)</f>
        <v/>
      </c>
    </row>
    <row r="778" spans="7:7">
      <c r="G778" s="5" t="str">
        <f>IF(F778="","",ROUNDUP((HLOOKUP("並",単価表!$B$1:$D$2,2,FALSE)*F778)/50,0)*50)</f>
        <v/>
      </c>
    </row>
    <row r="779" spans="7:7">
      <c r="G779" s="5" t="str">
        <f>IF(F779="","",ROUNDUP((HLOOKUP("並",単価表!$B$1:$D$2,2,FALSE)*F779)/50,0)*50)</f>
        <v/>
      </c>
    </row>
    <row r="780" spans="7:7">
      <c r="G780" s="5" t="str">
        <f>IF(F780="","",ROUNDUP((HLOOKUP("並",単価表!$B$1:$D$2,2,FALSE)*F780)/50,0)*50)</f>
        <v/>
      </c>
    </row>
    <row r="781" spans="7:7">
      <c r="G781" s="5" t="str">
        <f>IF(F781="","",ROUNDUP((HLOOKUP("並",単価表!$B$1:$D$2,2,FALSE)*F781)/50,0)*50)</f>
        <v/>
      </c>
    </row>
    <row r="782" spans="7:7">
      <c r="G782" s="5" t="str">
        <f>IF(F782="","",ROUNDUP((HLOOKUP("並",単価表!$B$1:$D$2,2,FALSE)*F782)/50,0)*50)</f>
        <v/>
      </c>
    </row>
    <row r="783" spans="7:7">
      <c r="G783" s="5" t="str">
        <f>IF(F783="","",ROUNDUP((HLOOKUP("並",単価表!$B$1:$D$2,2,FALSE)*F783)/50,0)*50)</f>
        <v/>
      </c>
    </row>
    <row r="784" spans="7:7">
      <c r="G784" s="5" t="str">
        <f>IF(F784="","",ROUNDUP((HLOOKUP("並",単価表!$B$1:$D$2,2,FALSE)*F784)/50,0)*50)</f>
        <v/>
      </c>
    </row>
    <row r="785" spans="7:7">
      <c r="G785" s="5" t="str">
        <f>IF(F785="","",ROUNDUP((HLOOKUP("並",単価表!$B$1:$D$2,2,FALSE)*F785)/50,0)*50)</f>
        <v/>
      </c>
    </row>
    <row r="786" spans="7:7">
      <c r="G786" s="5" t="str">
        <f>IF(F786="","",ROUNDUP((HLOOKUP("並",単価表!$B$1:$D$2,2,FALSE)*F786)/50,0)*50)</f>
        <v/>
      </c>
    </row>
    <row r="787" spans="7:7">
      <c r="G787" s="5" t="str">
        <f>IF(F787="","",ROUNDUP((HLOOKUP("並",単価表!$B$1:$D$2,2,FALSE)*F787)/50,0)*50)</f>
        <v/>
      </c>
    </row>
    <row r="788" spans="7:7">
      <c r="G788" s="5" t="str">
        <f>IF(F788="","",ROUNDUP((HLOOKUP("並",単価表!$B$1:$D$2,2,FALSE)*F788)/50,0)*50)</f>
        <v/>
      </c>
    </row>
    <row r="789" spans="7:7">
      <c r="G789" s="5" t="str">
        <f>IF(F789="","",ROUNDUP((HLOOKUP("並",単価表!$B$1:$D$2,2,FALSE)*F789)/50,0)*50)</f>
        <v/>
      </c>
    </row>
    <row r="790" spans="7:7">
      <c r="G790" s="5" t="str">
        <f>IF(F790="","",ROUNDUP((HLOOKUP("並",単価表!$B$1:$D$2,2,FALSE)*F790)/50,0)*50)</f>
        <v/>
      </c>
    </row>
    <row r="791" spans="7:7">
      <c r="G791" s="5" t="str">
        <f>IF(F791="","",ROUNDUP((HLOOKUP("並",単価表!$B$1:$D$2,2,FALSE)*F791)/50,0)*50)</f>
        <v/>
      </c>
    </row>
    <row r="792" spans="7:7">
      <c r="G792" s="5" t="str">
        <f>IF(F792="","",ROUNDUP((HLOOKUP("並",単価表!$B$1:$D$2,2,FALSE)*F792)/50,0)*50)</f>
        <v/>
      </c>
    </row>
    <row r="793" spans="7:7">
      <c r="G793" s="5" t="str">
        <f>IF(F793="","",ROUNDUP((HLOOKUP("並",単価表!$B$1:$D$2,2,FALSE)*F793)/50,0)*50)</f>
        <v/>
      </c>
    </row>
    <row r="794" spans="7:7">
      <c r="G794" s="5" t="str">
        <f>IF(F794="","",ROUNDUP((HLOOKUP("並",単価表!$B$1:$D$2,2,FALSE)*F794)/50,0)*50)</f>
        <v/>
      </c>
    </row>
    <row r="795" spans="7:7">
      <c r="G795" s="5" t="str">
        <f>IF(F795="","",ROUNDUP((HLOOKUP("並",単価表!$B$1:$D$2,2,FALSE)*F795)/50,0)*50)</f>
        <v/>
      </c>
    </row>
    <row r="796" spans="7:7">
      <c r="G796" s="5" t="str">
        <f>IF(F796="","",ROUNDUP((HLOOKUP("並",単価表!$B$1:$D$2,2,FALSE)*F796)/50,0)*50)</f>
        <v/>
      </c>
    </row>
    <row r="797" spans="7:7">
      <c r="G797" s="5" t="str">
        <f>IF(F797="","",ROUNDUP((HLOOKUP("並",単価表!$B$1:$D$2,2,FALSE)*F797)/50,0)*50)</f>
        <v/>
      </c>
    </row>
    <row r="798" spans="7:7">
      <c r="G798" s="5" t="str">
        <f>IF(F798="","",ROUNDUP((HLOOKUP("並",単価表!$B$1:$D$2,2,FALSE)*F798)/50,0)*50)</f>
        <v/>
      </c>
    </row>
    <row r="799" spans="7:7">
      <c r="G799" s="5" t="str">
        <f>IF(F799="","",ROUNDUP((HLOOKUP("並",単価表!$B$1:$D$2,2,FALSE)*F799)/50,0)*50)</f>
        <v/>
      </c>
    </row>
    <row r="800" spans="7:7">
      <c r="G800" s="5" t="str">
        <f>IF(F800="","",ROUNDUP((HLOOKUP("並",単価表!$B$1:$D$2,2,FALSE)*F800)/50,0)*50)</f>
        <v/>
      </c>
    </row>
    <row r="801" spans="7:7">
      <c r="G801" s="5" t="str">
        <f>IF(F801="","",ROUNDUP((HLOOKUP("並",単価表!$B$1:$D$2,2,FALSE)*F801)/50,0)*50)</f>
        <v/>
      </c>
    </row>
    <row r="802" spans="7:7">
      <c r="G802" s="5" t="str">
        <f>IF(F802="","",ROUNDUP((HLOOKUP("並",単価表!$B$1:$D$2,2,FALSE)*F802)/50,0)*50)</f>
        <v/>
      </c>
    </row>
    <row r="803" spans="7:7">
      <c r="G803" s="5" t="str">
        <f>IF(F803="","",ROUNDUP((HLOOKUP("並",単価表!$B$1:$D$2,2,FALSE)*F803)/50,0)*50)</f>
        <v/>
      </c>
    </row>
    <row r="804" spans="7:7">
      <c r="G804" s="5" t="str">
        <f>IF(F804="","",ROUNDUP((HLOOKUP("並",単価表!$B$1:$D$2,2,FALSE)*F804)/50,0)*50)</f>
        <v/>
      </c>
    </row>
    <row r="805" spans="7:7">
      <c r="G805" s="5" t="str">
        <f>IF(F805="","",ROUNDUP((HLOOKUP("並",単価表!$B$1:$D$2,2,FALSE)*F805)/50,0)*50)</f>
        <v/>
      </c>
    </row>
    <row r="806" spans="7:7">
      <c r="G806" s="5" t="str">
        <f>IF(F806="","",ROUNDUP((HLOOKUP("並",単価表!$B$1:$D$2,2,FALSE)*F806)/50,0)*50)</f>
        <v/>
      </c>
    </row>
    <row r="807" spans="7:7">
      <c r="G807" s="5" t="str">
        <f>IF(F807="","",ROUNDUP((HLOOKUP("並",単価表!$B$1:$D$2,2,FALSE)*F807)/50,0)*50)</f>
        <v/>
      </c>
    </row>
    <row r="808" spans="7:7">
      <c r="G808" s="5" t="str">
        <f>IF(F808="","",ROUNDUP((HLOOKUP("並",単価表!$B$1:$D$2,2,FALSE)*F808)/50,0)*50)</f>
        <v/>
      </c>
    </row>
    <row r="809" spans="7:7">
      <c r="G809" s="5" t="str">
        <f>IF(F809="","",ROUNDUP((HLOOKUP("並",単価表!$B$1:$D$2,2,FALSE)*F809)/50,0)*50)</f>
        <v/>
      </c>
    </row>
    <row r="810" spans="7:7">
      <c r="G810" s="5" t="str">
        <f>IF(F810="","",ROUNDUP((HLOOKUP("並",単価表!$B$1:$D$2,2,FALSE)*F810)/50,0)*50)</f>
        <v/>
      </c>
    </row>
    <row r="811" spans="7:7">
      <c r="G811" s="5" t="str">
        <f>IF(F811="","",ROUNDUP((HLOOKUP("並",単価表!$B$1:$D$2,2,FALSE)*F811)/50,0)*50)</f>
        <v/>
      </c>
    </row>
    <row r="812" spans="7:7">
      <c r="G812" s="5" t="str">
        <f>IF(F812="","",ROUNDUP((HLOOKUP("並",単価表!$B$1:$D$2,2,FALSE)*F812)/50,0)*50)</f>
        <v/>
      </c>
    </row>
    <row r="813" spans="7:7">
      <c r="G813" s="5" t="str">
        <f>IF(F813="","",ROUNDUP((HLOOKUP("並",単価表!$B$1:$D$2,2,FALSE)*F813)/50,0)*50)</f>
        <v/>
      </c>
    </row>
    <row r="814" spans="7:7">
      <c r="G814" s="5" t="str">
        <f>IF(F814="","",ROUNDUP((HLOOKUP("並",単価表!$B$1:$D$2,2,FALSE)*F814)/50,0)*50)</f>
        <v/>
      </c>
    </row>
    <row r="815" spans="7:7">
      <c r="G815" s="5" t="str">
        <f>IF(F815="","",ROUNDUP((HLOOKUP("並",単価表!$B$1:$D$2,2,FALSE)*F815)/50,0)*50)</f>
        <v/>
      </c>
    </row>
    <row r="816" spans="7:7">
      <c r="G816" s="5" t="str">
        <f>IF(F816="","",ROUNDUP((HLOOKUP("並",単価表!$B$1:$D$2,2,FALSE)*F816)/50,0)*50)</f>
        <v/>
      </c>
    </row>
    <row r="817" spans="7:7">
      <c r="G817" s="5" t="str">
        <f>IF(F817="","",ROUNDUP((HLOOKUP("並",単価表!$B$1:$D$2,2,FALSE)*F817)/50,0)*50)</f>
        <v/>
      </c>
    </row>
    <row r="818" spans="7:7">
      <c r="G818" s="5" t="str">
        <f>IF(F818="","",ROUNDUP((HLOOKUP("並",単価表!$B$1:$D$2,2,FALSE)*F818)/50,0)*50)</f>
        <v/>
      </c>
    </row>
    <row r="819" spans="7:7">
      <c r="G819" s="5" t="str">
        <f>IF(F819="","",ROUNDUP((HLOOKUP("並",単価表!$B$1:$D$2,2,FALSE)*F819)/50,0)*50)</f>
        <v/>
      </c>
    </row>
    <row r="820" spans="7:7">
      <c r="G820" s="5" t="str">
        <f>IF(F820="","",ROUNDUP((HLOOKUP("並",単価表!$B$1:$D$2,2,FALSE)*F820)/50,0)*50)</f>
        <v/>
      </c>
    </row>
    <row r="821" spans="7:7">
      <c r="G821" s="5" t="str">
        <f>IF(F821="","",ROUNDUP((HLOOKUP("並",単価表!$B$1:$D$2,2,FALSE)*F821)/50,0)*50)</f>
        <v/>
      </c>
    </row>
    <row r="822" spans="7:7">
      <c r="G822" s="5" t="str">
        <f>IF(F822="","",ROUNDUP((HLOOKUP("並",単価表!$B$1:$D$2,2,FALSE)*F822)/50,0)*50)</f>
        <v/>
      </c>
    </row>
    <row r="823" spans="7:7">
      <c r="G823" s="5" t="str">
        <f>IF(F823="","",ROUNDUP((HLOOKUP("並",単価表!$B$1:$D$2,2,FALSE)*F823)/50,0)*50)</f>
        <v/>
      </c>
    </row>
    <row r="824" spans="7:7">
      <c r="G824" s="5" t="str">
        <f>IF(F824="","",ROUNDUP((HLOOKUP("並",単価表!$B$1:$D$2,2,FALSE)*F824)/50,0)*50)</f>
        <v/>
      </c>
    </row>
    <row r="825" spans="7:7">
      <c r="G825" s="5" t="str">
        <f>IF(F825="","",ROUNDUP((HLOOKUP("並",単価表!$B$1:$D$2,2,FALSE)*F825)/50,0)*50)</f>
        <v/>
      </c>
    </row>
    <row r="826" spans="7:7">
      <c r="G826" s="5" t="str">
        <f>IF(F826="","",ROUNDUP((HLOOKUP("並",単価表!$B$1:$D$2,2,FALSE)*F826)/50,0)*50)</f>
        <v/>
      </c>
    </row>
    <row r="827" spans="7:7">
      <c r="G827" s="5" t="str">
        <f>IF(F827="","",ROUNDUP((HLOOKUP("並",単価表!$B$1:$D$2,2,FALSE)*F827)/50,0)*50)</f>
        <v/>
      </c>
    </row>
    <row r="828" spans="7:7">
      <c r="G828" s="5" t="str">
        <f>IF(F828="","",ROUNDUP((HLOOKUP("並",単価表!$B$1:$D$2,2,FALSE)*F828)/50,0)*50)</f>
        <v/>
      </c>
    </row>
    <row r="829" spans="7:7">
      <c r="G829" s="5" t="str">
        <f>IF(F829="","",ROUNDUP((HLOOKUP("並",単価表!$B$1:$D$2,2,FALSE)*F829)/50,0)*50)</f>
        <v/>
      </c>
    </row>
    <row r="830" spans="7:7">
      <c r="G830" s="5" t="str">
        <f>IF(F830="","",ROUNDUP((HLOOKUP("並",単価表!$B$1:$D$2,2,FALSE)*F830)/50,0)*50)</f>
        <v/>
      </c>
    </row>
    <row r="831" spans="7:7">
      <c r="G831" s="5" t="str">
        <f>IF(F831="","",ROUNDUP((HLOOKUP("並",単価表!$B$1:$D$2,2,FALSE)*F831)/50,0)*50)</f>
        <v/>
      </c>
    </row>
    <row r="832" spans="7:7">
      <c r="G832" s="5" t="str">
        <f>IF(F832="","",ROUNDUP((HLOOKUP("並",単価表!$B$1:$D$2,2,FALSE)*F832)/50,0)*50)</f>
        <v/>
      </c>
    </row>
    <row r="833" spans="7:7">
      <c r="G833" s="5" t="str">
        <f>IF(F833="","",ROUNDUP((HLOOKUP("並",単価表!$B$1:$D$2,2,FALSE)*F833)/50,0)*50)</f>
        <v/>
      </c>
    </row>
    <row r="834" spans="7:7">
      <c r="G834" s="5" t="str">
        <f>IF(F834="","",ROUNDUP((HLOOKUP("並",単価表!$B$1:$D$2,2,FALSE)*F834)/50,0)*50)</f>
        <v/>
      </c>
    </row>
    <row r="835" spans="7:7">
      <c r="G835" s="5" t="str">
        <f>IF(F835="","",ROUNDUP((HLOOKUP("並",単価表!$B$1:$D$2,2,FALSE)*F835)/50,0)*50)</f>
        <v/>
      </c>
    </row>
    <row r="836" spans="7:7">
      <c r="G836" s="5" t="str">
        <f>IF(F836="","",ROUNDUP((HLOOKUP("並",単価表!$B$1:$D$2,2,FALSE)*F836)/50,0)*50)</f>
        <v/>
      </c>
    </row>
    <row r="837" spans="7:7">
      <c r="G837" s="5" t="str">
        <f>IF(F837="","",ROUNDUP((HLOOKUP("並",単価表!$B$1:$D$2,2,FALSE)*F837)/50,0)*50)</f>
        <v/>
      </c>
    </row>
    <row r="838" spans="7:7">
      <c r="G838" s="5" t="str">
        <f>IF(F838="","",ROUNDUP((HLOOKUP("並",単価表!$B$1:$D$2,2,FALSE)*F838)/50,0)*50)</f>
        <v/>
      </c>
    </row>
    <row r="839" spans="7:7">
      <c r="G839" s="5" t="str">
        <f>IF(F839="","",ROUNDUP((HLOOKUP("並",単価表!$B$1:$D$2,2,FALSE)*F839)/50,0)*50)</f>
        <v/>
      </c>
    </row>
    <row r="840" spans="7:7">
      <c r="G840" s="5" t="str">
        <f>IF(F840="","",ROUNDUP((HLOOKUP("並",単価表!$B$1:$D$2,2,FALSE)*F840)/50,0)*50)</f>
        <v/>
      </c>
    </row>
    <row r="841" spans="7:7">
      <c r="G841" s="5" t="str">
        <f>IF(F841="","",ROUNDUP((HLOOKUP("並",単価表!$B$1:$D$2,2,FALSE)*F841)/50,0)*50)</f>
        <v/>
      </c>
    </row>
    <row r="842" spans="7:7">
      <c r="G842" s="5" t="str">
        <f>IF(F842="","",ROUNDUP((HLOOKUP("並",単価表!$B$1:$D$2,2,FALSE)*F842)/50,0)*50)</f>
        <v/>
      </c>
    </row>
    <row r="843" spans="7:7">
      <c r="G843" s="5" t="str">
        <f>IF(F843="","",ROUNDUP((HLOOKUP("並",単価表!$B$1:$D$2,2,FALSE)*F843)/50,0)*50)</f>
        <v/>
      </c>
    </row>
    <row r="844" spans="7:7">
      <c r="G844" s="5" t="str">
        <f>IF(F844="","",ROUNDUP((HLOOKUP("並",単価表!$B$1:$D$2,2,FALSE)*F844)/50,0)*50)</f>
        <v/>
      </c>
    </row>
    <row r="845" spans="7:7">
      <c r="G845" s="5" t="str">
        <f>IF(F845="","",ROUNDUP((HLOOKUP("並",単価表!$B$1:$D$2,2,FALSE)*F845)/50,0)*50)</f>
        <v/>
      </c>
    </row>
    <row r="846" spans="7:7">
      <c r="G846" s="5" t="str">
        <f>IF(F846="","",ROUNDUP((HLOOKUP("並",単価表!$B$1:$D$2,2,FALSE)*F846)/50,0)*50)</f>
        <v/>
      </c>
    </row>
    <row r="847" spans="7:7">
      <c r="G847" s="5" t="str">
        <f>IF(F847="","",ROUNDUP((HLOOKUP("並",単価表!$B$1:$D$2,2,FALSE)*F847)/50,0)*50)</f>
        <v/>
      </c>
    </row>
    <row r="848" spans="7:7">
      <c r="G848" s="5" t="str">
        <f>IF(F848="","",ROUNDUP((HLOOKUP("並",単価表!$B$1:$D$2,2,FALSE)*F848)/50,0)*50)</f>
        <v/>
      </c>
    </row>
    <row r="849" spans="7:7">
      <c r="G849" s="5" t="str">
        <f>IF(F849="","",ROUNDUP((HLOOKUP("並",単価表!$B$1:$D$2,2,FALSE)*F849)/50,0)*50)</f>
        <v/>
      </c>
    </row>
    <row r="850" spans="7:7">
      <c r="G850" s="5" t="str">
        <f>IF(F850="","",ROUNDUP((HLOOKUP("並",単価表!$B$1:$D$2,2,FALSE)*F850)/50,0)*50)</f>
        <v/>
      </c>
    </row>
    <row r="851" spans="7:7">
      <c r="G851" s="5" t="str">
        <f>IF(F851="","",ROUNDUP((HLOOKUP("並",単価表!$B$1:$D$2,2,FALSE)*F851)/50,0)*50)</f>
        <v/>
      </c>
    </row>
    <row r="852" spans="7:7">
      <c r="G852" s="5" t="str">
        <f>IF(F852="","",ROUNDUP((HLOOKUP("並",単価表!$B$1:$D$2,2,FALSE)*F852)/50,0)*50)</f>
        <v/>
      </c>
    </row>
    <row r="853" spans="7:7">
      <c r="G853" s="5" t="str">
        <f>IF(F853="","",ROUNDUP((HLOOKUP("並",単価表!$B$1:$D$2,2,FALSE)*F853)/50,0)*50)</f>
        <v/>
      </c>
    </row>
    <row r="854" spans="7:7">
      <c r="G854" s="5" t="str">
        <f>IF(F854="","",ROUNDUP((HLOOKUP("並",単価表!$B$1:$D$2,2,FALSE)*F854)/50,0)*50)</f>
        <v/>
      </c>
    </row>
    <row r="855" spans="7:7">
      <c r="G855" s="5" t="str">
        <f>IF(F855="","",ROUNDUP((HLOOKUP("並",単価表!$B$1:$D$2,2,FALSE)*F855)/50,0)*50)</f>
        <v/>
      </c>
    </row>
    <row r="856" spans="7:7">
      <c r="G856" s="5" t="str">
        <f>IF(F856="","",ROUNDUP((HLOOKUP("並",単価表!$B$1:$D$2,2,FALSE)*F856)/50,0)*50)</f>
        <v/>
      </c>
    </row>
    <row r="857" spans="7:7">
      <c r="G857" s="5" t="str">
        <f>IF(F857="","",ROUNDUP((HLOOKUP("並",単価表!$B$1:$D$2,2,FALSE)*F857)/50,0)*50)</f>
        <v/>
      </c>
    </row>
    <row r="858" spans="7:7">
      <c r="G858" s="5" t="str">
        <f>IF(F858="","",ROUNDUP((HLOOKUP("並",単価表!$B$1:$D$2,2,FALSE)*F858)/50,0)*50)</f>
        <v/>
      </c>
    </row>
    <row r="859" spans="7:7">
      <c r="G859" s="5" t="str">
        <f>IF(F859="","",ROUNDUP((HLOOKUP("並",単価表!$B$1:$D$2,2,FALSE)*F859)/50,0)*50)</f>
        <v/>
      </c>
    </row>
    <row r="860" spans="7:7">
      <c r="G860" s="5" t="str">
        <f>IF(F860="","",ROUNDUP((HLOOKUP("並",単価表!$B$1:$D$2,2,FALSE)*F860)/50,0)*50)</f>
        <v/>
      </c>
    </row>
    <row r="861" spans="7:7">
      <c r="G861" s="5" t="str">
        <f>IF(F861="","",ROUNDUP((HLOOKUP("並",単価表!$B$1:$D$2,2,FALSE)*F861)/50,0)*50)</f>
        <v/>
      </c>
    </row>
    <row r="862" spans="7:7">
      <c r="G862" s="5" t="str">
        <f>IF(F862="","",ROUNDUP((HLOOKUP("並",単価表!$B$1:$D$2,2,FALSE)*F862)/50,0)*50)</f>
        <v/>
      </c>
    </row>
    <row r="863" spans="7:7">
      <c r="G863" s="5" t="str">
        <f>IF(F863="","",ROUNDUP((HLOOKUP("並",単価表!$B$1:$D$2,2,FALSE)*F863)/50,0)*50)</f>
        <v/>
      </c>
    </row>
    <row r="864" spans="7:7">
      <c r="G864" s="5" t="str">
        <f>IF(F864="","",ROUNDUP((HLOOKUP("並",単価表!$B$1:$D$2,2,FALSE)*F864)/50,0)*50)</f>
        <v/>
      </c>
    </row>
    <row r="865" spans="7:7">
      <c r="G865" s="5" t="str">
        <f>IF(F865="","",ROUNDUP((HLOOKUP("並",単価表!$B$1:$D$2,2,FALSE)*F865)/50,0)*50)</f>
        <v/>
      </c>
    </row>
    <row r="866" spans="7:7">
      <c r="G866" s="5" t="str">
        <f>IF(F866="","",ROUNDUP((HLOOKUP("並",単価表!$B$1:$D$2,2,FALSE)*F866)/50,0)*50)</f>
        <v/>
      </c>
    </row>
    <row r="867" spans="7:7">
      <c r="G867" s="5" t="str">
        <f>IF(F867="","",ROUNDUP((HLOOKUP("並",単価表!$B$1:$D$2,2,FALSE)*F867)/50,0)*50)</f>
        <v/>
      </c>
    </row>
    <row r="868" spans="7:7">
      <c r="G868" s="5" t="str">
        <f>IF(F868="","",ROUNDUP((HLOOKUP("並",単価表!$B$1:$D$2,2,FALSE)*F868)/50,0)*50)</f>
        <v/>
      </c>
    </row>
    <row r="869" spans="7:7">
      <c r="G869" s="5" t="str">
        <f>IF(F869="","",ROUNDUP((HLOOKUP("並",単価表!$B$1:$D$2,2,FALSE)*F869)/50,0)*50)</f>
        <v/>
      </c>
    </row>
    <row r="870" spans="7:7">
      <c r="G870" s="5" t="str">
        <f>IF(F870="","",ROUNDUP((HLOOKUP("並",単価表!$B$1:$D$2,2,FALSE)*F870)/50,0)*50)</f>
        <v/>
      </c>
    </row>
    <row r="871" spans="7:7">
      <c r="G871" s="5" t="str">
        <f>IF(F871="","",ROUNDUP((HLOOKUP("並",単価表!$B$1:$D$2,2,FALSE)*F871)/50,0)*50)</f>
        <v/>
      </c>
    </row>
    <row r="872" spans="7:7">
      <c r="G872" s="5" t="str">
        <f>IF(F872="","",ROUNDUP((HLOOKUP("並",単価表!$B$1:$D$2,2,FALSE)*F872)/50,0)*50)</f>
        <v/>
      </c>
    </row>
    <row r="873" spans="7:7">
      <c r="G873" s="5" t="str">
        <f>IF(F873="","",ROUNDUP((HLOOKUP("並",単価表!$B$1:$D$2,2,FALSE)*F873)/50,0)*50)</f>
        <v/>
      </c>
    </row>
    <row r="874" spans="7:7">
      <c r="G874" s="5" t="str">
        <f>IF(F874="","",ROUNDUP((HLOOKUP("並",単価表!$B$1:$D$2,2,FALSE)*F874)/50,0)*50)</f>
        <v/>
      </c>
    </row>
    <row r="875" spans="7:7">
      <c r="G875" s="5" t="str">
        <f>IF(F875="","",ROUNDUP((HLOOKUP("並",単価表!$B$1:$D$2,2,FALSE)*F875)/50,0)*50)</f>
        <v/>
      </c>
    </row>
    <row r="876" spans="7:7">
      <c r="G876" s="5" t="str">
        <f>IF(F876="","",ROUNDUP((HLOOKUP("並",単価表!$B$1:$D$2,2,FALSE)*F876)/50,0)*50)</f>
        <v/>
      </c>
    </row>
    <row r="877" spans="7:7">
      <c r="G877" s="5" t="str">
        <f>IF(F877="","",ROUNDUP((HLOOKUP("並",単価表!$B$1:$D$2,2,FALSE)*F877)/50,0)*50)</f>
        <v/>
      </c>
    </row>
    <row r="878" spans="7:7">
      <c r="G878" s="5" t="str">
        <f>IF(F878="","",ROUNDUP((HLOOKUP("並",単価表!$B$1:$D$2,2,FALSE)*F878)/50,0)*50)</f>
        <v/>
      </c>
    </row>
    <row r="879" spans="7:7">
      <c r="G879" s="5" t="str">
        <f>IF(F879="","",ROUNDUP((HLOOKUP("並",単価表!$B$1:$D$2,2,FALSE)*F879)/50,0)*50)</f>
        <v/>
      </c>
    </row>
    <row r="880" spans="7:7">
      <c r="G880" s="5" t="str">
        <f>IF(F880="","",ROUNDUP((HLOOKUP("並",単価表!$B$1:$D$2,2,FALSE)*F880)/50,0)*50)</f>
        <v/>
      </c>
    </row>
    <row r="881" spans="7:7">
      <c r="G881" s="5" t="str">
        <f>IF(F881="","",ROUNDUP((HLOOKUP("並",単価表!$B$1:$D$2,2,FALSE)*F881)/50,0)*50)</f>
        <v/>
      </c>
    </row>
    <row r="882" spans="7:7">
      <c r="G882" s="5" t="str">
        <f>IF(F882="","",ROUNDUP((HLOOKUP("並",単価表!$B$1:$D$2,2,FALSE)*F882)/50,0)*50)</f>
        <v/>
      </c>
    </row>
    <row r="883" spans="7:7">
      <c r="G883" s="5" t="str">
        <f>IF(F883="","",ROUNDUP((HLOOKUP("並",単価表!$B$1:$D$2,2,FALSE)*F883)/50,0)*50)</f>
        <v/>
      </c>
    </row>
    <row r="884" spans="7:7">
      <c r="G884" s="5" t="str">
        <f>IF(F884="","",ROUNDUP((HLOOKUP("並",単価表!$B$1:$D$2,2,FALSE)*F884)/50,0)*50)</f>
        <v/>
      </c>
    </row>
    <row r="885" spans="7:7">
      <c r="G885" s="5" t="str">
        <f>IF(F885="","",ROUNDUP((HLOOKUP("並",単価表!$B$1:$D$2,2,FALSE)*F885)/50,0)*50)</f>
        <v/>
      </c>
    </row>
    <row r="886" spans="7:7">
      <c r="G886" s="5" t="str">
        <f>IF(F886="","",ROUNDUP((HLOOKUP("並",単価表!$B$1:$D$2,2,FALSE)*F886)/50,0)*50)</f>
        <v/>
      </c>
    </row>
    <row r="887" spans="7:7">
      <c r="G887" s="5" t="str">
        <f>IF(F887="","",ROUNDUP((HLOOKUP("並",単価表!$B$1:$D$2,2,FALSE)*F887)/50,0)*50)</f>
        <v/>
      </c>
    </row>
    <row r="888" spans="7:7">
      <c r="G888" s="5" t="str">
        <f>IF(F888="","",ROUNDUP((HLOOKUP("並",単価表!$B$1:$D$2,2,FALSE)*F888)/50,0)*50)</f>
        <v/>
      </c>
    </row>
    <row r="889" spans="7:7">
      <c r="G889" s="5" t="str">
        <f>IF(F889="","",ROUNDUP((HLOOKUP("並",単価表!$B$1:$D$2,2,FALSE)*F889)/50,0)*50)</f>
        <v/>
      </c>
    </row>
    <row r="890" spans="7:7">
      <c r="G890" s="5" t="str">
        <f>IF(F890="","",ROUNDUP((HLOOKUP("並",単価表!$B$1:$D$2,2,FALSE)*F890)/50,0)*50)</f>
        <v/>
      </c>
    </row>
    <row r="891" spans="7:7">
      <c r="G891" s="5" t="str">
        <f>IF(F891="","",ROUNDUP((HLOOKUP("並",単価表!$B$1:$D$2,2,FALSE)*F891)/50,0)*50)</f>
        <v/>
      </c>
    </row>
    <row r="892" spans="7:7">
      <c r="G892" s="5" t="str">
        <f>IF(F892="","",ROUNDUP((HLOOKUP("並",単価表!$B$1:$D$2,2,FALSE)*F892)/50,0)*50)</f>
        <v/>
      </c>
    </row>
    <row r="893" spans="7:7">
      <c r="G893" s="5" t="str">
        <f>IF(F893="","",ROUNDUP((HLOOKUP("並",単価表!$B$1:$D$2,2,FALSE)*F893)/50,0)*50)</f>
        <v/>
      </c>
    </row>
    <row r="894" spans="7:7">
      <c r="G894" s="5" t="str">
        <f>IF(F894="","",ROUNDUP((HLOOKUP("並",単価表!$B$1:$D$2,2,FALSE)*F894)/50,0)*50)</f>
        <v/>
      </c>
    </row>
    <row r="895" spans="7:7">
      <c r="G895" s="5" t="str">
        <f>IF(F895="","",ROUNDUP((HLOOKUP("並",単価表!$B$1:$D$2,2,FALSE)*F895)/50,0)*50)</f>
        <v/>
      </c>
    </row>
    <row r="896" spans="7:7">
      <c r="G896" s="5" t="str">
        <f>IF(F896="","",ROUNDUP((HLOOKUP("並",単価表!$B$1:$D$2,2,FALSE)*F896)/50,0)*50)</f>
        <v/>
      </c>
    </row>
    <row r="897" spans="7:7">
      <c r="G897" s="5" t="str">
        <f>IF(F897="","",ROUNDUP((HLOOKUP("並",単価表!$B$1:$D$2,2,FALSE)*F897)/50,0)*50)</f>
        <v/>
      </c>
    </row>
    <row r="898" spans="7:7">
      <c r="G898" s="5" t="str">
        <f>IF(F898="","",ROUNDUP((HLOOKUP("並",単価表!$B$1:$D$2,2,FALSE)*F898)/50,0)*50)</f>
        <v/>
      </c>
    </row>
    <row r="899" spans="7:7">
      <c r="G899" s="5" t="str">
        <f>IF(F899="","",ROUNDUP((HLOOKUP("並",単価表!$B$1:$D$2,2,FALSE)*F899)/50,0)*50)</f>
        <v/>
      </c>
    </row>
    <row r="900" spans="7:7">
      <c r="G900" s="5" t="str">
        <f>IF(F900="","",ROUNDUP((HLOOKUP("並",単価表!$B$1:$D$2,2,FALSE)*F900)/50,0)*50)</f>
        <v/>
      </c>
    </row>
    <row r="901" spans="7:7">
      <c r="G901" s="5" t="str">
        <f>IF(F901="","",ROUNDUP((HLOOKUP("並",単価表!$B$1:$D$2,2,FALSE)*F901)/50,0)*50)</f>
        <v/>
      </c>
    </row>
    <row r="902" spans="7:7">
      <c r="G902" s="5" t="str">
        <f>IF(F902="","",ROUNDUP((HLOOKUP("並",単価表!$B$1:$D$2,2,FALSE)*F902)/50,0)*50)</f>
        <v/>
      </c>
    </row>
    <row r="903" spans="7:7">
      <c r="G903" s="5" t="str">
        <f>IF(F903="","",ROUNDUP((HLOOKUP("並",単価表!$B$1:$D$2,2,FALSE)*F903)/50,0)*50)</f>
        <v/>
      </c>
    </row>
    <row r="904" spans="7:7">
      <c r="G904" s="5" t="str">
        <f>IF(F904="","",ROUNDUP((HLOOKUP("並",単価表!$B$1:$D$2,2,FALSE)*F904)/50,0)*50)</f>
        <v/>
      </c>
    </row>
    <row r="905" spans="7:7">
      <c r="G905" s="5" t="str">
        <f>IF(F905="","",ROUNDUP((HLOOKUP("並",単価表!$B$1:$D$2,2,FALSE)*F905)/50,0)*50)</f>
        <v/>
      </c>
    </row>
    <row r="906" spans="7:7">
      <c r="G906" s="5" t="str">
        <f>IF(F906="","",ROUNDUP((HLOOKUP("並",単価表!$B$1:$D$2,2,FALSE)*F906)/50,0)*50)</f>
        <v/>
      </c>
    </row>
    <row r="907" spans="7:7">
      <c r="G907" s="5" t="str">
        <f>IF(F907="","",ROUNDUP((HLOOKUP("並",単価表!$B$1:$D$2,2,FALSE)*F907)/50,0)*50)</f>
        <v/>
      </c>
    </row>
    <row r="908" spans="7:7">
      <c r="G908" s="5" t="str">
        <f>IF(F908="","",ROUNDUP((HLOOKUP("並",単価表!$B$1:$D$2,2,FALSE)*F908)/50,0)*50)</f>
        <v/>
      </c>
    </row>
    <row r="909" spans="7:7">
      <c r="G909" s="5" t="str">
        <f>IF(F909="","",ROUNDUP((HLOOKUP("並",単価表!$B$1:$D$2,2,FALSE)*F909)/50,0)*50)</f>
        <v/>
      </c>
    </row>
    <row r="910" spans="7:7">
      <c r="G910" s="5" t="str">
        <f>IF(F910="","",ROUNDUP((HLOOKUP("並",単価表!$B$1:$D$2,2,FALSE)*F910)/50,0)*50)</f>
        <v/>
      </c>
    </row>
    <row r="911" spans="7:7">
      <c r="G911" s="5" t="str">
        <f>IF(F911="","",ROUNDUP((HLOOKUP("並",単価表!$B$1:$D$2,2,FALSE)*F911)/50,0)*50)</f>
        <v/>
      </c>
    </row>
    <row r="912" spans="7:7">
      <c r="G912" s="5" t="str">
        <f>IF(F912="","",ROUNDUP((HLOOKUP("並",単価表!$B$1:$D$2,2,FALSE)*F912)/50,0)*50)</f>
        <v/>
      </c>
    </row>
    <row r="913" spans="7:7">
      <c r="G913" s="5" t="str">
        <f>IF(F913="","",ROUNDUP((HLOOKUP("並",単価表!$B$1:$D$2,2,FALSE)*F913)/50,0)*50)</f>
        <v/>
      </c>
    </row>
    <row r="914" spans="7:7">
      <c r="G914" s="5" t="str">
        <f>IF(F914="","",ROUNDUP((HLOOKUP("並",単価表!$B$1:$D$2,2,FALSE)*F914)/50,0)*50)</f>
        <v/>
      </c>
    </row>
    <row r="915" spans="7:7">
      <c r="G915" s="5" t="str">
        <f>IF(F915="","",ROUNDUP((HLOOKUP("並",単価表!$B$1:$D$2,2,FALSE)*F915)/50,0)*50)</f>
        <v/>
      </c>
    </row>
    <row r="916" spans="7:7">
      <c r="G916" s="5" t="str">
        <f>IF(F916="","",ROUNDUP((HLOOKUP("並",単価表!$B$1:$D$2,2,FALSE)*F916)/50,0)*50)</f>
        <v/>
      </c>
    </row>
    <row r="917" spans="7:7">
      <c r="G917" s="5" t="str">
        <f>IF(F917="","",ROUNDUP((HLOOKUP("並",単価表!$B$1:$D$2,2,FALSE)*F917)/50,0)*50)</f>
        <v/>
      </c>
    </row>
    <row r="918" spans="7:7">
      <c r="G918" s="5" t="str">
        <f>IF(F918="","",ROUNDUP((HLOOKUP("並",単価表!$B$1:$D$2,2,FALSE)*F918)/50,0)*50)</f>
        <v/>
      </c>
    </row>
    <row r="919" spans="7:7">
      <c r="G919" s="5" t="str">
        <f>IF(F919="","",ROUNDUP((HLOOKUP("並",単価表!$B$1:$D$2,2,FALSE)*F919)/50,0)*50)</f>
        <v/>
      </c>
    </row>
    <row r="920" spans="7:7">
      <c r="G920" s="5" t="str">
        <f>IF(F920="","",ROUNDUP((HLOOKUP("並",単価表!$B$1:$D$2,2,FALSE)*F920)/50,0)*50)</f>
        <v/>
      </c>
    </row>
    <row r="921" spans="7:7">
      <c r="G921" s="5" t="str">
        <f>IF(F921="","",ROUNDUP((HLOOKUP("並",単価表!$B$1:$D$2,2,FALSE)*F921)/50,0)*50)</f>
        <v/>
      </c>
    </row>
    <row r="922" spans="7:7">
      <c r="G922" s="5" t="str">
        <f>IF(F922="","",ROUNDUP((HLOOKUP("並",単価表!$B$1:$D$2,2,FALSE)*F922)/50,0)*50)</f>
        <v/>
      </c>
    </row>
    <row r="923" spans="7:7">
      <c r="G923" s="5" t="str">
        <f>IF(F923="","",ROUNDUP((HLOOKUP("並",単価表!$B$1:$D$2,2,FALSE)*F923)/50,0)*50)</f>
        <v/>
      </c>
    </row>
    <row r="924" spans="7:7">
      <c r="G924" s="5" t="str">
        <f>IF(F924="","",ROUNDUP((HLOOKUP("並",単価表!$B$1:$D$2,2,FALSE)*F924)/50,0)*50)</f>
        <v/>
      </c>
    </row>
    <row r="925" spans="7:7">
      <c r="G925" s="5" t="str">
        <f>IF(F925="","",ROUNDUP((HLOOKUP("並",単価表!$B$1:$D$2,2,FALSE)*F925)/50,0)*50)</f>
        <v/>
      </c>
    </row>
    <row r="926" spans="7:7">
      <c r="G926" s="5" t="str">
        <f>IF(F926="","",ROUNDUP((HLOOKUP("並",単価表!$B$1:$D$2,2,FALSE)*F926)/50,0)*50)</f>
        <v/>
      </c>
    </row>
    <row r="927" spans="7:7">
      <c r="G927" s="5" t="str">
        <f>IF(F927="","",ROUNDUP((HLOOKUP("並",単価表!$B$1:$D$2,2,FALSE)*F927)/50,0)*50)</f>
        <v/>
      </c>
    </row>
    <row r="928" spans="7:7">
      <c r="G928" s="5" t="str">
        <f>IF(F928="","",ROUNDUP((HLOOKUP("並",単価表!$B$1:$D$2,2,FALSE)*F928)/50,0)*50)</f>
        <v/>
      </c>
    </row>
    <row r="929" spans="7:7">
      <c r="G929" s="5" t="str">
        <f>IF(F929="","",ROUNDUP((HLOOKUP("並",単価表!$B$1:$D$2,2,FALSE)*F929)/50,0)*50)</f>
        <v/>
      </c>
    </row>
    <row r="930" spans="7:7">
      <c r="G930" s="5" t="str">
        <f>IF(F930="","",ROUNDUP((HLOOKUP("並",単価表!$B$1:$D$2,2,FALSE)*F930)/50,0)*50)</f>
        <v/>
      </c>
    </row>
    <row r="931" spans="7:7">
      <c r="G931" s="5" t="str">
        <f>IF(F931="","",ROUNDUP((HLOOKUP("並",単価表!$B$1:$D$2,2,FALSE)*F931)/50,0)*50)</f>
        <v/>
      </c>
    </row>
    <row r="932" spans="7:7">
      <c r="G932" s="5" t="str">
        <f>IF(F932="","",ROUNDUP((HLOOKUP("並",単価表!$B$1:$D$2,2,FALSE)*F932)/50,0)*50)</f>
        <v/>
      </c>
    </row>
    <row r="933" spans="7:7">
      <c r="G933" s="5" t="str">
        <f>IF(F933="","",ROUNDUP((HLOOKUP("並",単価表!$B$1:$D$2,2,FALSE)*F933)/50,0)*50)</f>
        <v/>
      </c>
    </row>
    <row r="934" spans="7:7">
      <c r="G934" s="5" t="str">
        <f>IF(F934="","",ROUNDUP((HLOOKUP("並",単価表!$B$1:$D$2,2,FALSE)*F934)/50,0)*50)</f>
        <v/>
      </c>
    </row>
    <row r="935" spans="7:7">
      <c r="G935" s="5" t="str">
        <f>IF(F935="","",ROUNDUP((HLOOKUP("並",単価表!$B$1:$D$2,2,FALSE)*F935)/50,0)*50)</f>
        <v/>
      </c>
    </row>
    <row r="936" spans="7:7">
      <c r="G936" s="5" t="str">
        <f>IF(F936="","",ROUNDUP((HLOOKUP("並",単価表!$B$1:$D$2,2,FALSE)*F936)/50,0)*50)</f>
        <v/>
      </c>
    </row>
    <row r="937" spans="7:7">
      <c r="G937" s="5" t="str">
        <f>IF(F937="","",ROUNDUP((HLOOKUP("並",単価表!$B$1:$D$2,2,FALSE)*F937)/50,0)*50)</f>
        <v/>
      </c>
    </row>
    <row r="938" spans="7:7">
      <c r="G938" s="5" t="str">
        <f>IF(F938="","",ROUNDUP((HLOOKUP("並",単価表!$B$1:$D$2,2,FALSE)*F938)/50,0)*50)</f>
        <v/>
      </c>
    </row>
    <row r="939" spans="7:7">
      <c r="G939" s="5" t="str">
        <f>IF(F939="","",ROUNDUP((HLOOKUP("並",単価表!$B$1:$D$2,2,FALSE)*F939)/50,0)*50)</f>
        <v/>
      </c>
    </row>
    <row r="940" spans="7:7">
      <c r="G940" s="5" t="str">
        <f>IF(F940="","",ROUNDUP((HLOOKUP("並",単価表!$B$1:$D$2,2,FALSE)*F940)/50,0)*50)</f>
        <v/>
      </c>
    </row>
    <row r="941" spans="7:7">
      <c r="G941" s="5" t="str">
        <f>IF(F941="","",ROUNDUP((HLOOKUP("並",単価表!$B$1:$D$2,2,FALSE)*F941)/50,0)*50)</f>
        <v/>
      </c>
    </row>
    <row r="942" spans="7:7">
      <c r="G942" s="5" t="str">
        <f>IF(F942="","",ROUNDUP((HLOOKUP("並",単価表!$B$1:$D$2,2,FALSE)*F942)/50,0)*50)</f>
        <v/>
      </c>
    </row>
    <row r="943" spans="7:7">
      <c r="G943" s="5" t="str">
        <f>IF(F943="","",ROUNDUP((HLOOKUP("並",単価表!$B$1:$D$2,2,FALSE)*F943)/50,0)*50)</f>
        <v/>
      </c>
    </row>
    <row r="944" spans="7:7">
      <c r="G944" s="5" t="str">
        <f>IF(F944="","",ROUNDUP((HLOOKUP("並",単価表!$B$1:$D$2,2,FALSE)*F944)/50,0)*50)</f>
        <v/>
      </c>
    </row>
    <row r="945" spans="7:7">
      <c r="G945" s="5" t="str">
        <f>IF(F945="","",ROUNDUP((HLOOKUP("並",単価表!$B$1:$D$2,2,FALSE)*F945)/50,0)*50)</f>
        <v/>
      </c>
    </row>
    <row r="946" spans="7:7">
      <c r="G946" s="5" t="str">
        <f>IF(F946="","",ROUNDUP((HLOOKUP("並",単価表!$B$1:$D$2,2,FALSE)*F946)/50,0)*50)</f>
        <v/>
      </c>
    </row>
    <row r="947" spans="7:7">
      <c r="G947" s="5" t="str">
        <f>IF(F947="","",ROUNDUP((HLOOKUP("並",単価表!$B$1:$D$2,2,FALSE)*F947)/50,0)*50)</f>
        <v/>
      </c>
    </row>
    <row r="948" spans="7:7">
      <c r="G948" s="5" t="str">
        <f>IF(F948="","",ROUNDUP((HLOOKUP("並",単価表!$B$1:$D$2,2,FALSE)*F948)/50,0)*50)</f>
        <v/>
      </c>
    </row>
    <row r="949" spans="7:7">
      <c r="G949" s="5" t="str">
        <f>IF(F949="","",ROUNDUP((HLOOKUP("並",単価表!$B$1:$D$2,2,FALSE)*F949)/50,0)*50)</f>
        <v/>
      </c>
    </row>
    <row r="950" spans="7:7">
      <c r="G950" s="5" t="str">
        <f>IF(F950="","",ROUNDUP((HLOOKUP("並",単価表!$B$1:$D$2,2,FALSE)*F950)/50,0)*50)</f>
        <v/>
      </c>
    </row>
    <row r="951" spans="7:7">
      <c r="G951" s="5" t="str">
        <f>IF(F951="","",ROUNDUP((HLOOKUP("並",単価表!$B$1:$D$2,2,FALSE)*F951)/50,0)*50)</f>
        <v/>
      </c>
    </row>
    <row r="952" spans="7:7">
      <c r="G952" s="5" t="str">
        <f>IF(F952="","",ROUNDUP((HLOOKUP("並",単価表!$B$1:$D$2,2,FALSE)*F952)/50,0)*50)</f>
        <v/>
      </c>
    </row>
    <row r="953" spans="7:7">
      <c r="G953" s="5" t="str">
        <f>IF(F953="","",ROUNDUP((HLOOKUP("並",単価表!$B$1:$D$2,2,FALSE)*F953)/50,0)*50)</f>
        <v/>
      </c>
    </row>
    <row r="954" spans="7:7">
      <c r="G954" s="5" t="str">
        <f>IF(F954="","",ROUNDUP((HLOOKUP("並",単価表!$B$1:$D$2,2,FALSE)*F954)/50,0)*50)</f>
        <v/>
      </c>
    </row>
    <row r="955" spans="7:7">
      <c r="G955" s="5" t="str">
        <f>IF(F955="","",ROUNDUP((HLOOKUP("並",単価表!$B$1:$D$2,2,FALSE)*F955)/50,0)*50)</f>
        <v/>
      </c>
    </row>
    <row r="956" spans="7:7">
      <c r="G956" s="5" t="str">
        <f>IF(F956="","",ROUNDUP((HLOOKUP("並",単価表!$B$1:$D$2,2,FALSE)*F956)/50,0)*50)</f>
        <v/>
      </c>
    </row>
    <row r="957" spans="7:7">
      <c r="G957" s="5" t="str">
        <f>IF(F957="","",ROUNDUP((HLOOKUP("並",単価表!$B$1:$D$2,2,FALSE)*F957)/50,0)*50)</f>
        <v/>
      </c>
    </row>
    <row r="958" spans="7:7">
      <c r="G958" s="5" t="str">
        <f>IF(F958="","",ROUNDUP((HLOOKUP("並",単価表!$B$1:$D$2,2,FALSE)*F958)/50,0)*50)</f>
        <v/>
      </c>
    </row>
    <row r="959" spans="7:7">
      <c r="G959" s="5" t="str">
        <f>IF(F959="","",ROUNDUP((HLOOKUP("並",単価表!$B$1:$D$2,2,FALSE)*F959)/50,0)*50)</f>
        <v/>
      </c>
    </row>
    <row r="960" spans="7:7">
      <c r="G960" s="5" t="str">
        <f>IF(F960="","",ROUNDUP((HLOOKUP("並",単価表!$B$1:$D$2,2,FALSE)*F960)/50,0)*50)</f>
        <v/>
      </c>
    </row>
    <row r="961" spans="7:7">
      <c r="G961" s="5" t="str">
        <f>IF(F961="","",ROUNDUP((HLOOKUP("並",単価表!$B$1:$D$2,2,FALSE)*F961)/50,0)*50)</f>
        <v/>
      </c>
    </row>
    <row r="962" spans="7:7">
      <c r="G962" s="5" t="str">
        <f>IF(F962="","",ROUNDUP((HLOOKUP("並",単価表!$B$1:$D$2,2,FALSE)*F962)/50,0)*50)</f>
        <v/>
      </c>
    </row>
    <row r="963" spans="7:7">
      <c r="G963" s="5" t="str">
        <f>IF(F963="","",ROUNDUP((HLOOKUP("並",単価表!$B$1:$D$2,2,FALSE)*F963)/50,0)*50)</f>
        <v/>
      </c>
    </row>
    <row r="964" spans="7:7">
      <c r="G964" s="5" t="str">
        <f>IF(F964="","",ROUNDUP((HLOOKUP("並",単価表!$B$1:$D$2,2,FALSE)*F964)/50,0)*50)</f>
        <v/>
      </c>
    </row>
    <row r="965" spans="7:7">
      <c r="G965" s="5" t="str">
        <f>IF(F965="","",ROUNDUP((HLOOKUP("並",単価表!$B$1:$D$2,2,FALSE)*F965)/50,0)*50)</f>
        <v/>
      </c>
    </row>
    <row r="966" spans="7:7">
      <c r="G966" s="5" t="str">
        <f>IF(F966="","",ROUNDUP((HLOOKUP("並",単価表!$B$1:$D$2,2,FALSE)*F966)/50,0)*50)</f>
        <v/>
      </c>
    </row>
    <row r="967" spans="7:7">
      <c r="G967" s="5" t="str">
        <f>IF(F967="","",ROUNDUP((HLOOKUP("並",単価表!$B$1:$D$2,2,FALSE)*F967)/50,0)*50)</f>
        <v/>
      </c>
    </row>
    <row r="968" spans="7:7">
      <c r="G968" s="5" t="str">
        <f>IF(F968="","",ROUNDUP((HLOOKUP("並",単価表!$B$1:$D$2,2,FALSE)*F968)/50,0)*50)</f>
        <v/>
      </c>
    </row>
    <row r="969" spans="7:7">
      <c r="G969" s="5" t="str">
        <f>IF(F969="","",ROUNDUP((HLOOKUP("並",単価表!$B$1:$D$2,2,FALSE)*F969)/50,0)*50)</f>
        <v/>
      </c>
    </row>
    <row r="970" spans="7:7">
      <c r="G970" s="5" t="str">
        <f>IF(F970="","",ROUNDUP((HLOOKUP("並",単価表!$B$1:$D$2,2,FALSE)*F970)/50,0)*50)</f>
        <v/>
      </c>
    </row>
    <row r="971" spans="7:7">
      <c r="G971" s="5" t="str">
        <f>IF(F971="","",ROUNDUP((HLOOKUP("並",単価表!$B$1:$D$2,2,FALSE)*F971)/50,0)*50)</f>
        <v/>
      </c>
    </row>
    <row r="972" spans="7:7">
      <c r="G972" s="5" t="str">
        <f>IF(F972="","",ROUNDUP((HLOOKUP("並",単価表!$B$1:$D$2,2,FALSE)*F972)/50,0)*50)</f>
        <v/>
      </c>
    </row>
    <row r="973" spans="7:7">
      <c r="G973" s="5" t="str">
        <f>IF(F973="","",ROUNDUP((HLOOKUP("並",単価表!$B$1:$D$2,2,FALSE)*F973)/50,0)*50)</f>
        <v/>
      </c>
    </row>
    <row r="974" spans="7:7">
      <c r="G974" s="5" t="str">
        <f>IF(F974="","",ROUNDUP((HLOOKUP("並",単価表!$B$1:$D$2,2,FALSE)*F974)/50,0)*50)</f>
        <v/>
      </c>
    </row>
    <row r="975" spans="7:7">
      <c r="G975" s="5" t="str">
        <f>IF(F975="","",ROUNDUP((HLOOKUP("並",単価表!$B$1:$D$2,2,FALSE)*F975)/50,0)*50)</f>
        <v/>
      </c>
    </row>
    <row r="976" spans="7:7">
      <c r="G976" s="5" t="str">
        <f>IF(F976="","",ROUNDUP((HLOOKUP("並",単価表!$B$1:$D$2,2,FALSE)*F976)/50,0)*50)</f>
        <v/>
      </c>
    </row>
    <row r="977" spans="7:7">
      <c r="G977" s="5" t="str">
        <f>IF(F977="","",ROUNDUP((HLOOKUP("並",単価表!$B$1:$D$2,2,FALSE)*F977)/50,0)*50)</f>
        <v/>
      </c>
    </row>
    <row r="978" spans="7:7">
      <c r="G978" s="5" t="str">
        <f>IF(F978="","",ROUNDUP((HLOOKUP("並",単価表!$B$1:$D$2,2,FALSE)*F978)/50,0)*50)</f>
        <v/>
      </c>
    </row>
    <row r="979" spans="7:7">
      <c r="G979" s="5" t="str">
        <f>IF(F979="","",ROUNDUP((HLOOKUP("並",単価表!$B$1:$D$2,2,FALSE)*F979)/50,0)*50)</f>
        <v/>
      </c>
    </row>
    <row r="980" spans="7:7">
      <c r="G980" s="5" t="str">
        <f>IF(F980="","",ROUNDUP((HLOOKUP("並",単価表!$B$1:$D$2,2,FALSE)*F980)/50,0)*50)</f>
        <v/>
      </c>
    </row>
    <row r="981" spans="7:7">
      <c r="G981" s="5" t="str">
        <f>IF(F981="","",ROUNDUP((HLOOKUP("並",単価表!$B$1:$D$2,2,FALSE)*F981)/50,0)*50)</f>
        <v/>
      </c>
    </row>
    <row r="982" spans="7:7">
      <c r="G982" s="5" t="str">
        <f>IF(F982="","",ROUNDUP((HLOOKUP("並",単価表!$B$1:$D$2,2,FALSE)*F982)/50,0)*50)</f>
        <v/>
      </c>
    </row>
    <row r="983" spans="7:7">
      <c r="G983" s="5" t="str">
        <f>IF(F983="","",ROUNDUP((HLOOKUP("並",単価表!$B$1:$D$2,2,FALSE)*F983)/50,0)*50)</f>
        <v/>
      </c>
    </row>
    <row r="984" spans="7:7">
      <c r="G984" s="5" t="str">
        <f>IF(F984="","",ROUNDUP((HLOOKUP("並",単価表!$B$1:$D$2,2,FALSE)*F984)/50,0)*50)</f>
        <v/>
      </c>
    </row>
    <row r="985" spans="7:7">
      <c r="G985" s="5" t="str">
        <f>IF(F985="","",ROUNDUP((HLOOKUP("並",単価表!$B$1:$D$2,2,FALSE)*F985)/50,0)*50)</f>
        <v/>
      </c>
    </row>
    <row r="986" spans="7:7">
      <c r="G986" s="5" t="str">
        <f>IF(F986="","",ROUNDUP((HLOOKUP("並",単価表!$B$1:$D$2,2,FALSE)*F986)/50,0)*50)</f>
        <v/>
      </c>
    </row>
    <row r="987" spans="7:7">
      <c r="G987" s="5" t="str">
        <f>IF(F987="","",ROUNDUP((HLOOKUP("並",単価表!$B$1:$D$2,2,FALSE)*F987)/50,0)*50)</f>
        <v/>
      </c>
    </row>
    <row r="988" spans="7:7">
      <c r="G988" s="5" t="str">
        <f>IF(F988="","",ROUNDUP((HLOOKUP("並",単価表!$B$1:$D$2,2,FALSE)*F988)/50,0)*50)</f>
        <v/>
      </c>
    </row>
    <row r="989" spans="7:7">
      <c r="G989" s="5" t="str">
        <f>IF(F989="","",ROUNDUP((HLOOKUP("並",単価表!$B$1:$D$2,2,FALSE)*F989)/50,0)*50)</f>
        <v/>
      </c>
    </row>
    <row r="990" spans="7:7">
      <c r="G990" s="5" t="str">
        <f>IF(F990="","",ROUNDUP((HLOOKUP("並",単価表!$B$1:$D$2,2,FALSE)*F990)/50,0)*50)</f>
        <v/>
      </c>
    </row>
    <row r="991" spans="7:7">
      <c r="G991" s="5" t="str">
        <f>IF(F991="","",ROUNDUP((HLOOKUP("並",単価表!$B$1:$D$2,2,FALSE)*F991)/50,0)*50)</f>
        <v/>
      </c>
    </row>
    <row r="992" spans="7:7">
      <c r="G992" s="5" t="str">
        <f>IF(F992="","",ROUNDUP((HLOOKUP("並",単価表!$B$1:$D$2,2,FALSE)*F992)/50,0)*50)</f>
        <v/>
      </c>
    </row>
    <row r="993" spans="7:7">
      <c r="G993" s="5" t="str">
        <f>IF(F993="","",ROUNDUP((HLOOKUP("並",単価表!$B$1:$D$2,2,FALSE)*F993)/50,0)*50)</f>
        <v/>
      </c>
    </row>
    <row r="994" spans="7:7">
      <c r="G994" s="5" t="str">
        <f>IF(F994="","",ROUNDUP((HLOOKUP("並",単価表!$B$1:$D$2,2,FALSE)*F994)/50,0)*50)</f>
        <v/>
      </c>
    </row>
    <row r="995" spans="7:7">
      <c r="G995" s="5" t="str">
        <f>IF(F995="","",ROUNDUP((HLOOKUP("並",単価表!$B$1:$D$2,2,FALSE)*F995)/50,0)*50)</f>
        <v/>
      </c>
    </row>
    <row r="996" spans="7:7">
      <c r="G996" s="5" t="str">
        <f>IF(F996="","",ROUNDUP((HLOOKUP("並",単価表!$B$1:$D$2,2,FALSE)*F996)/50,0)*50)</f>
        <v/>
      </c>
    </row>
    <row r="997" spans="7:7">
      <c r="G997" s="5" t="str">
        <f>IF(F997="","",ROUNDUP((HLOOKUP("並",単価表!$B$1:$D$2,2,FALSE)*F997)/50,0)*50)</f>
        <v/>
      </c>
    </row>
    <row r="998" spans="7:7">
      <c r="G998" s="5" t="str">
        <f>IF(F998="","",ROUNDUP((HLOOKUP("並",単価表!$B$1:$D$2,2,FALSE)*F998)/50,0)*50)</f>
        <v/>
      </c>
    </row>
    <row r="999" spans="7:7">
      <c r="G999" s="5" t="str">
        <f>IF(F999="","",ROUNDUP((HLOOKUP("並",単価表!$B$1:$D$2,2,FALSE)*F999)/50,0)*50)</f>
        <v/>
      </c>
    </row>
    <row r="1000" spans="7:7">
      <c r="G1000" s="5" t="str">
        <f>IF(F1000="","",ROUNDUP((HLOOKUP("並",単価表!$B$1:$D$2,2,FALSE)*F1000)/50,0)*50)</f>
        <v/>
      </c>
    </row>
    <row r="1001" spans="7:7">
      <c r="G1001" s="5" t="str">
        <f>IF(F1001="","",ROUNDUP(HLOOKUP("並",単価表!$B$1:$D$2,2,FALSE)*F1001/50,0)*50)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単価表</vt:lpstr>
      <vt:lpstr>集計表</vt:lpstr>
      <vt:lpstr>重量計算表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boonx4m312s</cp:lastModifiedBy>
  <dcterms:created xsi:type="dcterms:W3CDTF">2006-09-13T11:12:02Z</dcterms:created>
  <dcterms:modified xsi:type="dcterms:W3CDTF">2020-04-29T06:28:07Z</dcterms:modified>
</cp:coreProperties>
</file>